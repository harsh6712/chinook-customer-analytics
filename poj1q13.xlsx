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cded55d7aa5cda/Documents/"/>
    </mc:Choice>
  </mc:AlternateContent>
  <xr:revisionPtr revIDLastSave="4" documentId="8_{0E741427-CFD2-468F-9C98-0D2E6F3B9BDD}" xr6:coauthVersionLast="47" xr6:coauthVersionMax="47" xr10:uidLastSave="{4E7F670F-3993-45FE-9B11-2668E233F952}"/>
  <bookViews>
    <workbookView xWindow="-108" yWindow="-108" windowWidth="23256" windowHeight="12456" activeTab="1" xr2:uid="{FF12ABE1-469C-4E43-BE6A-906695D0DBA3}"/>
  </bookViews>
  <sheets>
    <sheet name="RFM_Raw" sheetId="1" r:id="rId1"/>
    <sheet name="RFM_Scoring" sheetId="2" r:id="rId2"/>
    <sheet name="Segment_Lookup" sheetId="3" r:id="rId3"/>
    <sheet name="KPI_Summ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2" i="2" l="1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3" i="2"/>
  <c r="A4" i="2"/>
  <c r="A5" i="2"/>
  <c r="A6" i="2"/>
  <c r="A7" i="2"/>
  <c r="A8" i="2"/>
  <c r="A9" i="2"/>
  <c r="A10" i="2"/>
  <c r="A11" i="2"/>
  <c r="A2" i="2"/>
  <c r="J3" i="2"/>
  <c r="B5" i="4" s="1"/>
  <c r="B3" i="4"/>
  <c r="B2" i="4"/>
  <c r="B4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2" i="2"/>
  <c r="E7" i="3"/>
  <c r="E26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E3" i="3"/>
  <c r="E4" i="3"/>
  <c r="E5" i="3"/>
  <c r="E6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2" i="2"/>
  <c r="C3" i="2"/>
  <c r="B59" i="2"/>
  <c r="D59" i="2" s="1"/>
  <c r="E59" i="2" s="1"/>
  <c r="B60" i="2"/>
  <c r="D60" i="2" s="1"/>
  <c r="B3" i="2"/>
  <c r="D3" i="2" s="1"/>
  <c r="B4" i="2"/>
  <c r="D4" i="2" s="1"/>
  <c r="B5" i="2"/>
  <c r="D5" i="2" s="1"/>
  <c r="B6" i="2"/>
  <c r="D6" i="2" s="1"/>
  <c r="E6" i="2" s="1"/>
  <c r="B7" i="2"/>
  <c r="D7" i="2" s="1"/>
  <c r="E7" i="2" s="1"/>
  <c r="B8" i="2"/>
  <c r="D8" i="2" s="1"/>
  <c r="B9" i="2"/>
  <c r="B10" i="2"/>
  <c r="D10" i="2" s="1"/>
  <c r="B11" i="2"/>
  <c r="D11" i="2" s="1"/>
  <c r="E11" i="2" s="1"/>
  <c r="B12" i="2"/>
  <c r="D12" i="2" s="1"/>
  <c r="E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E18" i="2" s="1"/>
  <c r="B19" i="2"/>
  <c r="D19" i="2" s="1"/>
  <c r="B20" i="2"/>
  <c r="B21" i="2"/>
  <c r="B22" i="2"/>
  <c r="B23" i="2"/>
  <c r="D23" i="2" s="1"/>
  <c r="E23" i="2" s="1"/>
  <c r="B24" i="2"/>
  <c r="D24" i="2" s="1"/>
  <c r="E24" i="2" s="1"/>
  <c r="B25" i="2"/>
  <c r="D25" i="2" s="1"/>
  <c r="B26" i="2"/>
  <c r="D26" i="2" s="1"/>
  <c r="B27" i="2"/>
  <c r="D27" i="2" s="1"/>
  <c r="B28" i="2"/>
  <c r="D28" i="2" s="1"/>
  <c r="B29" i="2"/>
  <c r="D29" i="2" s="1"/>
  <c r="E29" i="2" s="1"/>
  <c r="B30" i="2"/>
  <c r="D30" i="2" s="1"/>
  <c r="E30" i="2" s="1"/>
  <c r="B31" i="2"/>
  <c r="B32" i="2"/>
  <c r="B33" i="2"/>
  <c r="B34" i="2"/>
  <c r="B35" i="2"/>
  <c r="B36" i="2"/>
  <c r="D36" i="2" s="1"/>
  <c r="E36" i="2" s="1"/>
  <c r="B37" i="2"/>
  <c r="D37" i="2" s="1"/>
  <c r="E37" i="2" s="1"/>
  <c r="B38" i="2"/>
  <c r="D38" i="2" s="1"/>
  <c r="E38" i="2" s="1"/>
  <c r="B39" i="2"/>
  <c r="D39" i="2" s="1"/>
  <c r="E39" i="2" s="1"/>
  <c r="B40" i="2"/>
  <c r="D40" i="2" s="1"/>
  <c r="E40" i="2" s="1"/>
  <c r="B41" i="2"/>
  <c r="D41" i="2" s="1"/>
  <c r="E41" i="2" s="1"/>
  <c r="B42" i="2"/>
  <c r="D42" i="2" s="1"/>
  <c r="E42" i="2" s="1"/>
  <c r="B43" i="2"/>
  <c r="D43" i="2" s="1"/>
  <c r="E43" i="2" s="1"/>
  <c r="B44" i="2"/>
  <c r="D44" i="2" s="1"/>
  <c r="E44" i="2" s="1"/>
  <c r="B45" i="2"/>
  <c r="D45" i="2" s="1"/>
  <c r="E45" i="2" s="1"/>
  <c r="B46" i="2"/>
  <c r="D46" i="2" s="1"/>
  <c r="E46" i="2" s="1"/>
  <c r="B47" i="2"/>
  <c r="D47" i="2" s="1"/>
  <c r="E47" i="2" s="1"/>
  <c r="B48" i="2"/>
  <c r="D48" i="2" s="1"/>
  <c r="E48" i="2" s="1"/>
  <c r="B49" i="2"/>
  <c r="D49" i="2" s="1"/>
  <c r="B50" i="2"/>
  <c r="D50" i="2" s="1"/>
  <c r="B51" i="2"/>
  <c r="D51" i="2" s="1"/>
  <c r="B52" i="2"/>
  <c r="D52" i="2" s="1"/>
  <c r="B53" i="2"/>
  <c r="D53" i="2" s="1"/>
  <c r="E53" i="2" s="1"/>
  <c r="B54" i="2"/>
  <c r="D54" i="2" s="1"/>
  <c r="E54" i="2" s="1"/>
  <c r="B55" i="2"/>
  <c r="D55" i="2" s="1"/>
  <c r="E55" i="2" s="1"/>
  <c r="B56" i="2"/>
  <c r="D56" i="2" s="1"/>
  <c r="E56" i="2" s="1"/>
  <c r="B57" i="2"/>
  <c r="D57" i="2" s="1"/>
  <c r="E57" i="2" s="1"/>
  <c r="B58" i="2"/>
  <c r="D58" i="2" s="1"/>
  <c r="E58" i="2" s="1"/>
  <c r="B2" i="2"/>
  <c r="D9" i="2" l="1"/>
  <c r="E9" i="2" s="1"/>
  <c r="D20" i="2"/>
  <c r="E20" i="2" s="1"/>
  <c r="D21" i="2"/>
  <c r="E21" i="2" s="1"/>
  <c r="D22" i="2"/>
  <c r="E22" i="2" s="1"/>
  <c r="D31" i="2"/>
  <c r="E31" i="2" s="1"/>
  <c r="D32" i="2"/>
  <c r="E32" i="2" s="1"/>
  <c r="D33" i="2"/>
  <c r="D34" i="2"/>
  <c r="D35" i="2"/>
  <c r="D2" i="2"/>
  <c r="E5" i="2"/>
  <c r="E17" i="2"/>
  <c r="E8" i="2"/>
  <c r="E10" i="2"/>
  <c r="E15" i="2"/>
  <c r="E33" i="2"/>
  <c r="E34" i="2"/>
  <c r="E35" i="2"/>
  <c r="E60" i="2"/>
  <c r="E19" i="2"/>
  <c r="E25" i="2"/>
  <c r="E26" i="2"/>
  <c r="E27" i="2"/>
  <c r="E28" i="2"/>
  <c r="E49" i="2"/>
  <c r="E50" i="2"/>
  <c r="E51" i="2"/>
  <c r="E52" i="2"/>
  <c r="E14" i="2"/>
  <c r="E3" i="2"/>
  <c r="E16" i="2"/>
  <c r="E4" i="2"/>
  <c r="E13" i="2"/>
  <c r="E2" i="2" l="1"/>
  <c r="M6" i="2"/>
  <c r="M7" i="2"/>
  <c r="J13" i="2" s="1"/>
  <c r="M8" i="2"/>
  <c r="M9" i="2"/>
  <c r="J7" i="2"/>
  <c r="J5" i="2"/>
  <c r="B8" i="4" l="1"/>
  <c r="J15" i="2"/>
  <c r="B6" i="4"/>
  <c r="M4" i="2"/>
  <c r="J14" i="2" s="1"/>
  <c r="J17" i="2" s="1"/>
  <c r="M5" i="2"/>
  <c r="J9" i="2"/>
  <c r="J8" i="2"/>
  <c r="K8" i="2" s="1"/>
  <c r="J4" i="2"/>
  <c r="J6" i="2"/>
  <c r="M3" i="2"/>
  <c r="J12" i="2" s="1"/>
  <c r="K9" i="2" l="1"/>
  <c r="B7" i="4"/>
  <c r="K7" i="2"/>
  <c r="K4" i="2"/>
  <c r="K3" i="2"/>
  <c r="K6" i="2"/>
  <c r="K5" i="2"/>
</calcChain>
</file>

<file path=xl/sharedStrings.xml><?xml version="1.0" encoding="utf-8"?>
<sst xmlns="http://schemas.openxmlformats.org/spreadsheetml/2006/main" count="153" uniqueCount="96">
  <si>
    <t>CustomerId</t>
  </si>
  <si>
    <t>CustomerName</t>
  </si>
  <si>
    <t>Recency</t>
  </si>
  <si>
    <t>Frequency</t>
  </si>
  <si>
    <t>Monetary</t>
  </si>
  <si>
    <t>Helena Holý</t>
  </si>
  <si>
    <t>Richard Cunningham</t>
  </si>
  <si>
    <t>Luis Rojas</t>
  </si>
  <si>
    <t>Ladislav Kovács</t>
  </si>
  <si>
    <t>Hugh O'Reilly</t>
  </si>
  <si>
    <t>Frank Ralston</t>
  </si>
  <si>
    <t>Julia Barnett</t>
  </si>
  <si>
    <t>Fynn Zimmermann</t>
  </si>
  <si>
    <t>Astrid Gruber</t>
  </si>
  <si>
    <t>Victor Stevens</t>
  </si>
  <si>
    <t>Terhi Hämäläinen</t>
  </si>
  <si>
    <t>František Wichterlová</t>
  </si>
  <si>
    <t>Isabelle Mercier</t>
  </si>
  <si>
    <t>Johannes Van der Berg</t>
  </si>
  <si>
    <t>Luís Gonçalves</t>
  </si>
  <si>
    <t>François Tremblay</t>
  </si>
  <si>
    <t>Bjørn Hansen</t>
  </si>
  <si>
    <t>Jack Smith</t>
  </si>
  <si>
    <t>Dan Miller</t>
  </si>
  <si>
    <t>Heather Leacock</t>
  </si>
  <si>
    <t>João Fernandes</t>
  </si>
  <si>
    <t>Wyatt Girard</t>
  </si>
  <si>
    <t>Jennifer Peterson</t>
  </si>
  <si>
    <t>Tim Goyer</t>
  </si>
  <si>
    <t>Camille Bernard</t>
  </si>
  <si>
    <t>Dominique Lefebvre</t>
  </si>
  <si>
    <t>Joakim Johansson</t>
  </si>
  <si>
    <t>Manoj Pareek</t>
  </si>
  <si>
    <t>Leonie Köhler</t>
  </si>
  <si>
    <t>Daan Peeters</t>
  </si>
  <si>
    <t>Kara Nielsen</t>
  </si>
  <si>
    <t>Eduardo Martins</t>
  </si>
  <si>
    <t>Alexandre Rocha</t>
  </si>
  <si>
    <t>Roberto Almeida</t>
  </si>
  <si>
    <t>Fernanda Ramos</t>
  </si>
  <si>
    <t>Mark Philips</t>
  </si>
  <si>
    <t>Frank Harris</t>
  </si>
  <si>
    <t>Michelle Brooks</t>
  </si>
  <si>
    <t>Kathy Chase</t>
  </si>
  <si>
    <t>John Gordon</t>
  </si>
  <si>
    <t>Patrick Gray</t>
  </si>
  <si>
    <t>Robert Brown</t>
  </si>
  <si>
    <t>Edward Francis</t>
  </si>
  <si>
    <t>Martha Silk</t>
  </si>
  <si>
    <t>Aaron Mitchell</t>
  </si>
  <si>
    <t>Ellie Sullivan</t>
  </si>
  <si>
    <t>Madalena Sampaio</t>
  </si>
  <si>
    <t>Hannah Schneider</t>
  </si>
  <si>
    <t>Niklas Schröder</t>
  </si>
  <si>
    <t>Marc Dubois</t>
  </si>
  <si>
    <t>Lucas Mancini</t>
  </si>
  <si>
    <t>Stanisław Wójcik</t>
  </si>
  <si>
    <t>Enrique Muñoz</t>
  </si>
  <si>
    <t>Emma Jones</t>
  </si>
  <si>
    <t>Phil Hughes</t>
  </si>
  <si>
    <t>Steve Murray</t>
  </si>
  <si>
    <t>Mark Taylor</t>
  </si>
  <si>
    <t>Diego Gutiérrez</t>
  </si>
  <si>
    <t>Puja Srivastava</t>
  </si>
  <si>
    <t>Monetary Score</t>
  </si>
  <si>
    <t>Recency Score</t>
  </si>
  <si>
    <t>MR_Code</t>
  </si>
  <si>
    <t>Segment</t>
  </si>
  <si>
    <t>Count</t>
  </si>
  <si>
    <t>Column1</t>
  </si>
  <si>
    <t>average spend</t>
  </si>
  <si>
    <t>Champions</t>
  </si>
  <si>
    <t>Loyal Customers</t>
  </si>
  <si>
    <t>Potential Loyalists</t>
  </si>
  <si>
    <t>Needs Attention</t>
  </si>
  <si>
    <t>At Risk</t>
  </si>
  <si>
    <t>Hibernating</t>
  </si>
  <si>
    <t>Lost</t>
  </si>
  <si>
    <t>Avg Loyal Spend</t>
  </si>
  <si>
    <t>Avg At Risk Spend</t>
  </si>
  <si>
    <t>Spend Gap</t>
  </si>
  <si>
    <t>At Risk Count</t>
  </si>
  <si>
    <t>Conversion Assumption</t>
  </si>
  <si>
    <t>Revenue Lift</t>
  </si>
  <si>
    <t>KPI</t>
  </si>
  <si>
    <t>Formula/Source</t>
  </si>
  <si>
    <t>Total Revenue</t>
  </si>
  <si>
    <t>Total Customers</t>
  </si>
  <si>
    <t>Average Customer Spend</t>
  </si>
  <si>
    <t>Champions Count</t>
  </si>
  <si>
    <t>Lost Count</t>
  </si>
  <si>
    <t>% of Customers At Risk or Lost</t>
  </si>
  <si>
    <t>Top Genre</t>
  </si>
  <si>
    <t>Rock</t>
  </si>
  <si>
    <t>Top Country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</si>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</sst>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Arial Unicode MS"/>
      <family val="2"/>
    </font>
    <font>
      <b/>
      <sz val="14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4"/>
      <color rgb="FF00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vertical="center" wrapText="1"/>
    </xf>
    <xf numFmtId="0" fontId="4" fillId="0" borderId="0" xfId="0" applyFont="1"/>
    <xf numFmtId="0" fontId="3" fillId="3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9" fontId="6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7" fontId="7" fillId="0" borderId="0" xfId="1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2" borderId="1" xfId="0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RFM_Scoring!$J$2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RFM_Scoring!$I$3:$I$9</c:f>
              <c:strCache>
                <c:ptCount val="7"/>
                <c:pt idx="0">
                  <c:v>Champions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Needs Attention</c:v>
                </c:pt>
                <c:pt idx="4">
                  <c:v>At Risk</c:v>
                </c:pt>
                <c:pt idx="5">
                  <c:v>Hibernating</c:v>
                </c:pt>
                <c:pt idx="6">
                  <c:v>Lost</c:v>
                </c:pt>
              </c:strCache>
            </c:strRef>
          </c:cat>
          <c:val>
            <c:numRef>
              <c:f>RFM_Scoring!$J$3:$J$9</c:f>
              <c:numCache>
                <c:formatCode>General</c:formatCode>
                <c:ptCount val="7"/>
                <c:pt idx="0">
                  <c:v>6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  <c:pt idx="4">
                  <c:v>12</c:v>
                </c:pt>
                <c:pt idx="5">
                  <c:v>4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5-4592-BA78-1F8AA5D43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679951"/>
        <c:axId val="189468463"/>
      </c:barChart>
      <c:catAx>
        <c:axId val="70567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8463"/>
        <c:crosses val="autoZero"/>
        <c:auto val="1"/>
        <c:lblAlgn val="ctr"/>
        <c:lblOffset val="100"/>
        <c:noMultiLvlLbl val="0"/>
      </c:catAx>
      <c:valAx>
        <c:axId val="18946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67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290763</xdr:colOff>
      <xdr:row>14</xdr:row>
      <xdr:rowOff>66174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32EBA-6C6E-4B27-90F9-939800899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E3A51-E449-4818-8A1F-AEC948B1881F}" name="tbl_RFM" displayName="tbl_RFM" ref="A1:E60" totalsRowShown="0" dataDxfId="18" tableBorderDxfId="17">
  <autoFilter ref="A1:E60" xr:uid="{4A1E3A51-E449-4818-8A1F-AEC948B1881F}"/>
  <tableColumns count="5">
    <tableColumn id="1" xr3:uid="{A002AD95-A7C3-47B4-AC07-812D82A61A62}" name="CustomerId" dataDxfId="16"/>
    <tableColumn id="2" xr3:uid="{64C96429-BB9B-4051-8B1A-D9741447FB2C}" name="CustomerName" dataDxfId="15"/>
    <tableColumn id="3" xr3:uid="{CDF1E0E8-71DA-4D65-93A6-B15AC48349E4}" name="Recency" dataDxfId="14"/>
    <tableColumn id="4" xr3:uid="{6686064A-AB0A-4AA2-AAA7-43D22BA24FC6}" name="Frequency" dataDxfId="13"/>
    <tableColumn id="5" xr3:uid="{C5FCF5A0-6327-457C-8A74-C0D1A03ABD7E}" name="Monetar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747A1B-F8D9-49E7-8E44-E3656CC45BD8}" name="Table5" displayName="Table5" ref="I2:K9" totalsRowShown="0" headerRowDxfId="23" dataDxfId="22">
  <autoFilter ref="I2:K9" xr:uid="{6F747A1B-F8D9-49E7-8E44-E3656CC45BD8}"/>
  <tableColumns count="3">
    <tableColumn id="1" xr3:uid="{97246130-65DB-47F8-8BE9-C501AF746C32}" name="Segment" dataDxfId="21"/>
    <tableColumn id="2" xr3:uid="{96031173-86B0-4AC3-AA4C-CF16A06F71B6}" name="Count" dataDxfId="20">
      <calculatedColumnFormula>COUNTIF(RFM_Scoring!E:E, I3)</calculatedColumnFormula>
    </tableColumn>
    <tableColumn id="3" xr3:uid="{801C3F8B-DAF7-4F27-8190-929E563F81A3}" name="Column1" dataDxfId="19">
      <calculatedColumnFormula>ROUND(J3/SUM($J$3:$J$9), 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111B14-2C84-44F6-82DF-695C3767047C}" name="kup" displayName="kup" ref="A1:B26" totalsRowShown="0" headerRowDxfId="11" dataDxfId="9" headerRowBorderDxfId="10" tableBorderDxfId="8" totalsRowBorderDxfId="7">
  <autoFilter ref="A1:B26" xr:uid="{E4111B14-2C84-44F6-82DF-695C3767047C}"/>
  <tableColumns count="2">
    <tableColumn id="1" xr3:uid="{1EEFFA73-D3A3-4DD9-8D87-1564CCBBB7C4}" name="MR_Code" dataDxfId="6"/>
    <tableColumn id="2" xr3:uid="{24A625E0-CAAB-4C52-AAEF-D44635419CAB}" name="Segment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94682C-B9E7-4107-B9F4-474F8656E32F}" name="Segment_Lookup" displayName="Segment_Lookup" ref="E1:F26" totalsRowShown="0" headerRowDxfId="4" headerRowBorderDxfId="3" tableBorderDxfId="2">
  <autoFilter ref="E1:F26" xr:uid="{4F94682C-B9E7-4107-B9F4-474F8656E32F}"/>
  <tableColumns count="2">
    <tableColumn id="1" xr3:uid="{770A838F-63D8-489E-84A4-B755E86F480E}" name="MR_Code" dataDxfId="1">
      <calculatedColumnFormula>TEXT(A2,"0")</calculatedColumnFormula>
    </tableColumn>
    <tableColumn id="2" xr3:uid="{099EB774-CEBE-44E8-AB89-19319091FCC1}" name="Seg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E9F1-A6BA-4E72-905D-F2FB17A70997}">
  <dimension ref="A1:M60"/>
  <sheetViews>
    <sheetView topLeftCell="A51" zoomScale="81" workbookViewId="0">
      <selection activeCell="A2" sqref="A2"/>
    </sheetView>
  </sheetViews>
  <sheetFormatPr defaultRowHeight="14.4" x14ac:dyDescent="0.3"/>
  <cols>
    <col min="1" max="1" width="12.6640625" customWidth="1"/>
    <col min="2" max="2" width="16" customWidth="1"/>
    <col min="3" max="3" width="9.88671875" customWidth="1"/>
    <col min="4" max="4" width="11.5546875" customWidth="1"/>
    <col min="5" max="5" width="10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3">
      <c r="A2" s="1">
        <v>6</v>
      </c>
      <c r="B2" s="1" t="s">
        <v>5</v>
      </c>
      <c r="C2" s="1">
        <v>39</v>
      </c>
      <c r="D2" s="1">
        <v>7</v>
      </c>
      <c r="E2" s="1">
        <v>49.62</v>
      </c>
      <c r="M2" s="5"/>
    </row>
    <row r="3" spans="1:13" ht="27.6" x14ac:dyDescent="0.3">
      <c r="A3" s="1">
        <v>26</v>
      </c>
      <c r="B3" s="1" t="s">
        <v>6</v>
      </c>
      <c r="C3" s="1">
        <v>261</v>
      </c>
      <c r="D3" s="1">
        <v>7</v>
      </c>
      <c r="E3" s="1">
        <v>47.62</v>
      </c>
      <c r="M3" s="5"/>
    </row>
    <row r="4" spans="1:13" x14ac:dyDescent="0.3">
      <c r="A4" s="1">
        <v>57</v>
      </c>
      <c r="B4" s="1" t="s">
        <v>7</v>
      </c>
      <c r="C4" s="1">
        <v>434</v>
      </c>
      <c r="D4" s="1">
        <v>7</v>
      </c>
      <c r="E4" s="1">
        <v>46.62</v>
      </c>
      <c r="M4" s="5"/>
    </row>
    <row r="5" spans="1:13" ht="27.6" x14ac:dyDescent="0.3">
      <c r="A5" s="1">
        <v>45</v>
      </c>
      <c r="B5" s="1" t="s">
        <v>8</v>
      </c>
      <c r="C5" s="1">
        <v>155</v>
      </c>
      <c r="D5" s="1">
        <v>7</v>
      </c>
      <c r="E5" s="1">
        <v>45.62</v>
      </c>
      <c r="M5" s="5"/>
    </row>
    <row r="6" spans="1:13" x14ac:dyDescent="0.3">
      <c r="A6" s="1">
        <v>46</v>
      </c>
      <c r="B6" s="1" t="s">
        <v>9</v>
      </c>
      <c r="C6" s="1">
        <v>48</v>
      </c>
      <c r="D6" s="1">
        <v>7</v>
      </c>
      <c r="E6" s="1">
        <v>45.62</v>
      </c>
      <c r="M6" s="5"/>
    </row>
    <row r="7" spans="1:13" x14ac:dyDescent="0.3">
      <c r="A7" s="1">
        <v>24</v>
      </c>
      <c r="B7" s="1" t="s">
        <v>10</v>
      </c>
      <c r="C7" s="1">
        <v>124</v>
      </c>
      <c r="D7" s="1">
        <v>7</v>
      </c>
      <c r="E7" s="1">
        <v>43.62</v>
      </c>
      <c r="M7" s="5"/>
    </row>
    <row r="8" spans="1:13" x14ac:dyDescent="0.3">
      <c r="A8" s="1">
        <v>28</v>
      </c>
      <c r="B8" s="1" t="s">
        <v>11</v>
      </c>
      <c r="C8" s="1">
        <v>217</v>
      </c>
      <c r="D8" s="1">
        <v>7</v>
      </c>
      <c r="E8" s="1">
        <v>43.62</v>
      </c>
      <c r="M8" s="5"/>
    </row>
    <row r="9" spans="1:13" ht="27.6" x14ac:dyDescent="0.3">
      <c r="A9" s="1">
        <v>37</v>
      </c>
      <c r="B9" s="1" t="s">
        <v>12</v>
      </c>
      <c r="C9" s="1">
        <v>202</v>
      </c>
      <c r="D9" s="1">
        <v>7</v>
      </c>
      <c r="E9" s="1">
        <v>43.62</v>
      </c>
      <c r="M9" s="5"/>
    </row>
    <row r="10" spans="1:13" x14ac:dyDescent="0.3">
      <c r="A10" s="1">
        <v>7</v>
      </c>
      <c r="B10" s="1" t="s">
        <v>13</v>
      </c>
      <c r="C10" s="1">
        <v>186</v>
      </c>
      <c r="D10" s="1">
        <v>7</v>
      </c>
      <c r="E10" s="1">
        <v>42.62</v>
      </c>
      <c r="M10" s="5"/>
    </row>
    <row r="11" spans="1:13" ht="27.6" x14ac:dyDescent="0.3">
      <c r="A11" s="1">
        <v>25</v>
      </c>
      <c r="B11" s="1" t="s">
        <v>14</v>
      </c>
      <c r="C11" s="1">
        <v>17</v>
      </c>
      <c r="D11" s="1">
        <v>7</v>
      </c>
      <c r="E11" s="1">
        <v>42.62</v>
      </c>
      <c r="M11" s="5"/>
    </row>
    <row r="12" spans="1:13" ht="27.6" x14ac:dyDescent="0.3">
      <c r="A12" s="1">
        <v>44</v>
      </c>
      <c r="B12" s="1" t="s">
        <v>15</v>
      </c>
      <c r="C12" s="1">
        <v>8</v>
      </c>
      <c r="D12" s="1">
        <v>7</v>
      </c>
      <c r="E12" s="1">
        <v>41.62</v>
      </c>
      <c r="M12" s="5"/>
    </row>
    <row r="13" spans="1:13" ht="27.6" x14ac:dyDescent="0.3">
      <c r="A13" s="1">
        <v>5</v>
      </c>
      <c r="B13" s="1" t="s">
        <v>16</v>
      </c>
      <c r="C13" s="1">
        <v>230</v>
      </c>
      <c r="D13" s="1">
        <v>7</v>
      </c>
      <c r="E13" s="1">
        <v>40.619999999999997</v>
      </c>
      <c r="M13" s="5"/>
    </row>
    <row r="14" spans="1:13" ht="27.6" x14ac:dyDescent="0.3">
      <c r="A14" s="1">
        <v>43</v>
      </c>
      <c r="B14" s="1" t="s">
        <v>17</v>
      </c>
      <c r="C14" s="1">
        <v>199</v>
      </c>
      <c r="D14" s="1">
        <v>7</v>
      </c>
      <c r="E14" s="1">
        <v>40.619999999999997</v>
      </c>
      <c r="M14" s="5"/>
    </row>
    <row r="15" spans="1:13" ht="27.6" x14ac:dyDescent="0.3">
      <c r="A15" s="1">
        <v>48</v>
      </c>
      <c r="B15" s="1" t="s">
        <v>18</v>
      </c>
      <c r="C15" s="1">
        <v>101</v>
      </c>
      <c r="D15" s="1">
        <v>7</v>
      </c>
      <c r="E15" s="1">
        <v>40.619999999999997</v>
      </c>
      <c r="M15" s="5"/>
    </row>
    <row r="16" spans="1:13" ht="27.6" x14ac:dyDescent="0.3">
      <c r="A16" s="1">
        <v>1</v>
      </c>
      <c r="B16" s="1" t="s">
        <v>19</v>
      </c>
      <c r="C16" s="1">
        <v>137</v>
      </c>
      <c r="D16" s="1">
        <v>7</v>
      </c>
      <c r="E16" s="1">
        <v>39.619999999999997</v>
      </c>
      <c r="M16" s="5"/>
    </row>
    <row r="17" spans="1:13" ht="27.6" x14ac:dyDescent="0.3">
      <c r="A17" s="1">
        <v>3</v>
      </c>
      <c r="B17" s="1" t="s">
        <v>20</v>
      </c>
      <c r="C17" s="1">
        <v>93</v>
      </c>
      <c r="D17" s="1">
        <v>7</v>
      </c>
      <c r="E17" s="1">
        <v>39.619999999999997</v>
      </c>
      <c r="M17" s="5"/>
    </row>
    <row r="18" spans="1:13" x14ac:dyDescent="0.3">
      <c r="A18" s="1">
        <v>4</v>
      </c>
      <c r="B18" s="1" t="s">
        <v>21</v>
      </c>
      <c r="C18" s="1">
        <v>80</v>
      </c>
      <c r="D18" s="1">
        <v>7</v>
      </c>
      <c r="E18" s="1">
        <v>39.619999999999997</v>
      </c>
      <c r="M18" s="5"/>
    </row>
    <row r="19" spans="1:13" x14ac:dyDescent="0.3">
      <c r="A19" s="1">
        <v>17</v>
      </c>
      <c r="B19" s="1" t="s">
        <v>22</v>
      </c>
      <c r="C19" s="1">
        <v>509</v>
      </c>
      <c r="D19" s="1">
        <v>7</v>
      </c>
      <c r="E19" s="1">
        <v>39.619999999999997</v>
      </c>
      <c r="M19" s="5"/>
    </row>
    <row r="20" spans="1:13" x14ac:dyDescent="0.3">
      <c r="A20" s="1">
        <v>20</v>
      </c>
      <c r="B20" s="1" t="s">
        <v>23</v>
      </c>
      <c r="C20" s="1">
        <v>31</v>
      </c>
      <c r="D20" s="1">
        <v>7</v>
      </c>
      <c r="E20" s="1">
        <v>39.619999999999997</v>
      </c>
      <c r="M20" s="5"/>
    </row>
    <row r="21" spans="1:13" ht="27.6" x14ac:dyDescent="0.3">
      <c r="A21" s="1">
        <v>22</v>
      </c>
      <c r="B21" s="1" t="s">
        <v>24</v>
      </c>
      <c r="C21" s="1">
        <v>168</v>
      </c>
      <c r="D21" s="1">
        <v>7</v>
      </c>
      <c r="E21" s="1">
        <v>39.619999999999997</v>
      </c>
      <c r="M21" s="5"/>
    </row>
    <row r="22" spans="1:13" ht="27.6" x14ac:dyDescent="0.3">
      <c r="A22" s="1">
        <v>34</v>
      </c>
      <c r="B22" s="1" t="s">
        <v>25</v>
      </c>
      <c r="C22" s="1">
        <v>447</v>
      </c>
      <c r="D22" s="1">
        <v>7</v>
      </c>
      <c r="E22" s="1">
        <v>39.619999999999997</v>
      </c>
      <c r="M22" s="5"/>
    </row>
    <row r="23" spans="1:13" x14ac:dyDescent="0.3">
      <c r="A23" s="1">
        <v>42</v>
      </c>
      <c r="B23" s="1" t="s">
        <v>26</v>
      </c>
      <c r="C23" s="1">
        <v>49</v>
      </c>
      <c r="D23" s="1">
        <v>7</v>
      </c>
      <c r="E23" s="1">
        <v>39.619999999999997</v>
      </c>
      <c r="M23" s="5"/>
    </row>
    <row r="24" spans="1:13" ht="27.6" x14ac:dyDescent="0.3">
      <c r="A24" s="1">
        <v>15</v>
      </c>
      <c r="B24" s="1" t="s">
        <v>27</v>
      </c>
      <c r="C24" s="1">
        <v>372</v>
      </c>
      <c r="D24" s="1">
        <v>7</v>
      </c>
      <c r="E24" s="1">
        <v>38.619999999999997</v>
      </c>
      <c r="M24" s="5"/>
    </row>
    <row r="25" spans="1:13" x14ac:dyDescent="0.3">
      <c r="A25" s="1">
        <v>19</v>
      </c>
      <c r="B25" s="1" t="s">
        <v>28</v>
      </c>
      <c r="C25" s="1">
        <v>465</v>
      </c>
      <c r="D25" s="1">
        <v>7</v>
      </c>
      <c r="E25" s="1">
        <v>38.619999999999997</v>
      </c>
      <c r="M25" s="5"/>
    </row>
    <row r="26" spans="1:13" ht="27.6" x14ac:dyDescent="0.3">
      <c r="A26" s="1">
        <v>39</v>
      </c>
      <c r="B26" s="1" t="s">
        <v>29</v>
      </c>
      <c r="C26" s="1">
        <v>106</v>
      </c>
      <c r="D26" s="1">
        <v>7</v>
      </c>
      <c r="E26" s="1">
        <v>38.619999999999997</v>
      </c>
      <c r="M26" s="5"/>
    </row>
    <row r="27" spans="1:13" ht="27.6" x14ac:dyDescent="0.3">
      <c r="A27" s="1">
        <v>40</v>
      </c>
      <c r="B27" s="1" t="s">
        <v>30</v>
      </c>
      <c r="C27" s="1">
        <v>496</v>
      </c>
      <c r="D27" s="1">
        <v>7</v>
      </c>
      <c r="E27" s="1">
        <v>38.619999999999997</v>
      </c>
    </row>
    <row r="28" spans="1:13" ht="27.6" x14ac:dyDescent="0.3">
      <c r="A28" s="1">
        <v>51</v>
      </c>
      <c r="B28" s="1" t="s">
        <v>31</v>
      </c>
      <c r="C28" s="1">
        <v>385</v>
      </c>
      <c r="D28" s="1">
        <v>7</v>
      </c>
      <c r="E28" s="1">
        <v>38.619999999999997</v>
      </c>
    </row>
    <row r="29" spans="1:13" x14ac:dyDescent="0.3">
      <c r="A29" s="1">
        <v>58</v>
      </c>
      <c r="B29" s="1" t="s">
        <v>32</v>
      </c>
      <c r="C29" s="1">
        <v>0</v>
      </c>
      <c r="D29" s="1">
        <v>7</v>
      </c>
      <c r="E29" s="1">
        <v>38.619999999999997</v>
      </c>
    </row>
    <row r="30" spans="1:13" x14ac:dyDescent="0.3">
      <c r="A30" s="1">
        <v>2</v>
      </c>
      <c r="B30" s="1" t="s">
        <v>33</v>
      </c>
      <c r="C30" s="1">
        <v>527</v>
      </c>
      <c r="D30" s="1">
        <v>7</v>
      </c>
      <c r="E30" s="1">
        <v>37.619999999999997</v>
      </c>
    </row>
    <row r="31" spans="1:13" x14ac:dyDescent="0.3">
      <c r="A31" s="1">
        <v>8</v>
      </c>
      <c r="B31" s="1" t="s">
        <v>34</v>
      </c>
      <c r="C31" s="1">
        <v>79</v>
      </c>
      <c r="D31" s="1">
        <v>7</v>
      </c>
      <c r="E31" s="1">
        <v>37.619999999999997</v>
      </c>
    </row>
    <row r="32" spans="1:13" x14ac:dyDescent="0.3">
      <c r="A32" s="1">
        <v>9</v>
      </c>
      <c r="B32" s="1" t="s">
        <v>35</v>
      </c>
      <c r="C32" s="1">
        <v>323</v>
      </c>
      <c r="D32" s="1">
        <v>7</v>
      </c>
      <c r="E32" s="1">
        <v>37.619999999999997</v>
      </c>
    </row>
    <row r="33" spans="1:5" ht="27.6" x14ac:dyDescent="0.3">
      <c r="A33" s="1">
        <v>10</v>
      </c>
      <c r="B33" s="1" t="s">
        <v>36</v>
      </c>
      <c r="C33" s="1">
        <v>132</v>
      </c>
      <c r="D33" s="1">
        <v>7</v>
      </c>
      <c r="E33" s="1">
        <v>37.619999999999997</v>
      </c>
    </row>
    <row r="34" spans="1:5" ht="27.6" x14ac:dyDescent="0.3">
      <c r="A34" s="1">
        <v>11</v>
      </c>
      <c r="B34" s="1" t="s">
        <v>37</v>
      </c>
      <c r="C34" s="1">
        <v>279</v>
      </c>
      <c r="D34" s="1">
        <v>7</v>
      </c>
      <c r="E34" s="1">
        <v>37.619999999999997</v>
      </c>
    </row>
    <row r="35" spans="1:5" ht="27.6" x14ac:dyDescent="0.3">
      <c r="A35" s="1">
        <v>12</v>
      </c>
      <c r="B35" s="1" t="s">
        <v>38</v>
      </c>
      <c r="C35" s="1">
        <v>78</v>
      </c>
      <c r="D35" s="1">
        <v>7</v>
      </c>
      <c r="E35" s="1">
        <v>37.619999999999997</v>
      </c>
    </row>
    <row r="36" spans="1:5" ht="27.6" x14ac:dyDescent="0.3">
      <c r="A36" s="1">
        <v>13</v>
      </c>
      <c r="B36" s="1" t="s">
        <v>39</v>
      </c>
      <c r="C36" s="1">
        <v>416</v>
      </c>
      <c r="D36" s="1">
        <v>7</v>
      </c>
      <c r="E36" s="1">
        <v>37.619999999999997</v>
      </c>
    </row>
    <row r="37" spans="1:5" x14ac:dyDescent="0.3">
      <c r="A37" s="1">
        <v>14</v>
      </c>
      <c r="B37" s="1" t="s">
        <v>40</v>
      </c>
      <c r="C37" s="1">
        <v>225</v>
      </c>
      <c r="D37" s="1">
        <v>7</v>
      </c>
      <c r="E37" s="1">
        <v>37.619999999999997</v>
      </c>
    </row>
    <row r="38" spans="1:5" x14ac:dyDescent="0.3">
      <c r="A38" s="1">
        <v>16</v>
      </c>
      <c r="B38" s="1" t="s">
        <v>41</v>
      </c>
      <c r="C38" s="1">
        <v>171</v>
      </c>
      <c r="D38" s="1">
        <v>7</v>
      </c>
      <c r="E38" s="1">
        <v>37.619999999999997</v>
      </c>
    </row>
    <row r="39" spans="1:5" ht="27.6" x14ac:dyDescent="0.3">
      <c r="A39" s="1">
        <v>18</v>
      </c>
      <c r="B39" s="1" t="s">
        <v>42</v>
      </c>
      <c r="C39" s="1">
        <v>75</v>
      </c>
      <c r="D39" s="1">
        <v>7</v>
      </c>
      <c r="E39" s="1">
        <v>37.619999999999997</v>
      </c>
    </row>
    <row r="40" spans="1:5" x14ac:dyDescent="0.3">
      <c r="A40" s="1">
        <v>21</v>
      </c>
      <c r="B40" s="1" t="s">
        <v>43</v>
      </c>
      <c r="C40" s="1">
        <v>18</v>
      </c>
      <c r="D40" s="1">
        <v>7</v>
      </c>
      <c r="E40" s="1">
        <v>37.619999999999997</v>
      </c>
    </row>
    <row r="41" spans="1:5" x14ac:dyDescent="0.3">
      <c r="A41" s="1">
        <v>23</v>
      </c>
      <c r="B41" s="1" t="s">
        <v>44</v>
      </c>
      <c r="C41" s="1">
        <v>18</v>
      </c>
      <c r="D41" s="1">
        <v>7</v>
      </c>
      <c r="E41" s="1">
        <v>37.619999999999997</v>
      </c>
    </row>
    <row r="42" spans="1:5" x14ac:dyDescent="0.3">
      <c r="A42" s="1">
        <v>27</v>
      </c>
      <c r="B42" s="1" t="s">
        <v>45</v>
      </c>
      <c r="C42" s="1">
        <v>70</v>
      </c>
      <c r="D42" s="1">
        <v>7</v>
      </c>
      <c r="E42" s="1">
        <v>37.619999999999997</v>
      </c>
    </row>
    <row r="43" spans="1:5" x14ac:dyDescent="0.3">
      <c r="A43" s="1">
        <v>29</v>
      </c>
      <c r="B43" s="1" t="s">
        <v>46</v>
      </c>
      <c r="C43" s="1">
        <v>16</v>
      </c>
      <c r="D43" s="1">
        <v>7</v>
      </c>
      <c r="E43" s="1">
        <v>37.619999999999997</v>
      </c>
    </row>
    <row r="44" spans="1:5" ht="27.6" x14ac:dyDescent="0.3">
      <c r="A44" s="1">
        <v>30</v>
      </c>
      <c r="B44" s="1" t="s">
        <v>47</v>
      </c>
      <c r="C44" s="1">
        <v>354</v>
      </c>
      <c r="D44" s="1">
        <v>7</v>
      </c>
      <c r="E44" s="1">
        <v>37.619999999999997</v>
      </c>
    </row>
    <row r="45" spans="1:5" x14ac:dyDescent="0.3">
      <c r="A45" s="1">
        <v>31</v>
      </c>
      <c r="B45" s="1" t="s">
        <v>48</v>
      </c>
      <c r="C45" s="1">
        <v>163</v>
      </c>
      <c r="D45" s="1">
        <v>7</v>
      </c>
      <c r="E45" s="1">
        <v>37.619999999999997</v>
      </c>
    </row>
    <row r="46" spans="1:5" ht="27.6" x14ac:dyDescent="0.3">
      <c r="A46" s="1">
        <v>32</v>
      </c>
      <c r="B46" s="1" t="s">
        <v>49</v>
      </c>
      <c r="C46" s="1">
        <v>310</v>
      </c>
      <c r="D46" s="1">
        <v>7</v>
      </c>
      <c r="E46" s="1">
        <v>37.619999999999997</v>
      </c>
    </row>
    <row r="47" spans="1:5" ht="27.6" x14ac:dyDescent="0.3">
      <c r="A47" s="1">
        <v>33</v>
      </c>
      <c r="B47" s="1" t="s">
        <v>50</v>
      </c>
      <c r="C47" s="1">
        <v>109</v>
      </c>
      <c r="D47" s="1">
        <v>7</v>
      </c>
      <c r="E47" s="1">
        <v>37.619999999999997</v>
      </c>
    </row>
    <row r="48" spans="1:5" ht="27.6" x14ac:dyDescent="0.3">
      <c r="A48" s="1">
        <v>35</v>
      </c>
      <c r="B48" s="1" t="s">
        <v>51</v>
      </c>
      <c r="C48" s="1">
        <v>13</v>
      </c>
      <c r="D48" s="1">
        <v>7</v>
      </c>
      <c r="E48" s="1">
        <v>37.619999999999997</v>
      </c>
    </row>
    <row r="49" spans="1:5" ht="27.6" x14ac:dyDescent="0.3">
      <c r="A49" s="1">
        <v>36</v>
      </c>
      <c r="B49" s="1" t="s">
        <v>52</v>
      </c>
      <c r="C49" s="1">
        <v>403</v>
      </c>
      <c r="D49" s="1">
        <v>7</v>
      </c>
      <c r="E49" s="1">
        <v>37.619999999999997</v>
      </c>
    </row>
    <row r="50" spans="1:5" ht="27.6" x14ac:dyDescent="0.3">
      <c r="A50" s="1">
        <v>38</v>
      </c>
      <c r="B50" s="1" t="s">
        <v>53</v>
      </c>
      <c r="C50" s="1">
        <v>540</v>
      </c>
      <c r="D50" s="1">
        <v>7</v>
      </c>
      <c r="E50" s="1">
        <v>37.619999999999997</v>
      </c>
    </row>
    <row r="51" spans="1:5" x14ac:dyDescent="0.3">
      <c r="A51" s="1">
        <v>41</v>
      </c>
      <c r="B51" s="1" t="s">
        <v>54</v>
      </c>
      <c r="C51" s="1">
        <v>62</v>
      </c>
      <c r="D51" s="1">
        <v>7</v>
      </c>
      <c r="E51" s="1">
        <v>37.619999999999997</v>
      </c>
    </row>
    <row r="52" spans="1:5" x14ac:dyDescent="0.3">
      <c r="A52" s="1">
        <v>47</v>
      </c>
      <c r="B52" s="1" t="s">
        <v>55</v>
      </c>
      <c r="C52" s="1">
        <v>292</v>
      </c>
      <c r="D52" s="1">
        <v>7</v>
      </c>
      <c r="E52" s="1">
        <v>37.619999999999997</v>
      </c>
    </row>
    <row r="53" spans="1:5" ht="27.6" x14ac:dyDescent="0.3">
      <c r="A53" s="1">
        <v>49</v>
      </c>
      <c r="B53" s="1" t="s">
        <v>56</v>
      </c>
      <c r="C53" s="1">
        <v>248</v>
      </c>
      <c r="D53" s="1">
        <v>7</v>
      </c>
      <c r="E53" s="1">
        <v>37.619999999999997</v>
      </c>
    </row>
    <row r="54" spans="1:5" x14ac:dyDescent="0.3">
      <c r="A54" s="1">
        <v>50</v>
      </c>
      <c r="B54" s="1" t="s">
        <v>57</v>
      </c>
      <c r="C54" s="1">
        <v>47</v>
      </c>
      <c r="D54" s="1">
        <v>7</v>
      </c>
      <c r="E54" s="1">
        <v>37.619999999999997</v>
      </c>
    </row>
    <row r="55" spans="1:5" x14ac:dyDescent="0.3">
      <c r="A55" s="1">
        <v>52</v>
      </c>
      <c r="B55" s="1" t="s">
        <v>58</v>
      </c>
      <c r="C55" s="1">
        <v>194</v>
      </c>
      <c r="D55" s="1">
        <v>7</v>
      </c>
      <c r="E55" s="1">
        <v>37.619999999999997</v>
      </c>
    </row>
    <row r="56" spans="1:5" x14ac:dyDescent="0.3">
      <c r="A56" s="1">
        <v>53</v>
      </c>
      <c r="B56" s="1" t="s">
        <v>59</v>
      </c>
      <c r="C56" s="1">
        <v>341</v>
      </c>
      <c r="D56" s="1">
        <v>7</v>
      </c>
      <c r="E56" s="1">
        <v>37.619999999999997</v>
      </c>
    </row>
    <row r="57" spans="1:5" x14ac:dyDescent="0.3">
      <c r="A57" s="1">
        <v>54</v>
      </c>
      <c r="B57" s="1" t="s">
        <v>60</v>
      </c>
      <c r="C57" s="1">
        <v>140</v>
      </c>
      <c r="D57" s="1">
        <v>7</v>
      </c>
      <c r="E57" s="1">
        <v>37.619999999999997</v>
      </c>
    </row>
    <row r="58" spans="1:5" x14ac:dyDescent="0.3">
      <c r="A58" s="1">
        <v>55</v>
      </c>
      <c r="B58" s="1" t="s">
        <v>61</v>
      </c>
      <c r="C58" s="1">
        <v>478</v>
      </c>
      <c r="D58" s="1">
        <v>7</v>
      </c>
      <c r="E58" s="1">
        <v>37.619999999999997</v>
      </c>
    </row>
    <row r="59" spans="1:5" ht="27.6" x14ac:dyDescent="0.3">
      <c r="A59" s="1">
        <v>56</v>
      </c>
      <c r="B59" s="1" t="s">
        <v>62</v>
      </c>
      <c r="C59" s="1">
        <v>44</v>
      </c>
      <c r="D59" s="1">
        <v>7</v>
      </c>
      <c r="E59" s="1">
        <v>37.619999999999997</v>
      </c>
    </row>
    <row r="60" spans="1:5" ht="27.6" x14ac:dyDescent="0.3">
      <c r="A60" s="2">
        <v>59</v>
      </c>
      <c r="B60" s="2" t="s">
        <v>63</v>
      </c>
      <c r="C60" s="2">
        <v>571</v>
      </c>
      <c r="D60" s="2">
        <v>6</v>
      </c>
      <c r="E60" s="2">
        <v>36.64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7876-A783-4AF7-AE32-1CC999E691CB}">
  <dimension ref="A1:Q77"/>
  <sheetViews>
    <sheetView tabSelected="1" zoomScale="101" zoomScaleNormal="40" workbookViewId="0">
      <selection activeCell="E4" sqref="E4"/>
    </sheetView>
  </sheetViews>
  <sheetFormatPr defaultRowHeight="14.4" x14ac:dyDescent="0.3"/>
  <cols>
    <col min="2" max="2" width="13.44140625" customWidth="1"/>
    <col min="3" max="3" width="14.88671875" customWidth="1"/>
    <col min="4" max="4" width="13" customWidth="1"/>
    <col min="9" max="9" width="10.33203125" customWidth="1"/>
    <col min="10" max="10" width="11.6640625" bestFit="1" customWidth="1"/>
    <col min="11" max="12" width="11.5546875" bestFit="1" customWidth="1"/>
    <col min="13" max="13" width="13.109375" customWidth="1"/>
  </cols>
  <sheetData>
    <row r="1" spans="1:17" x14ac:dyDescent="0.3">
      <c r="A1" t="s">
        <v>0</v>
      </c>
      <c r="B1" t="s">
        <v>64</v>
      </c>
      <c r="C1" t="s">
        <v>65</v>
      </c>
      <c r="D1" t="s">
        <v>66</v>
      </c>
      <c r="H1" t="s">
        <v>4</v>
      </c>
    </row>
    <row r="2" spans="1:17" x14ac:dyDescent="0.3">
      <c r="A2">
        <f>tbl_RFM[[#This Row],[CustomerId]]</f>
        <v>6</v>
      </c>
      <c r="B2">
        <f>CEILING((RANK(RFM_Raw!E2, tbl_RFM[Monetary], 1) / COUNT(tbl_RFM[Monetary])) * 5, 1)</f>
        <v>5</v>
      </c>
      <c r="C2">
        <f>CEILING((RANK(RFM_Raw!C2, tbl_RFM[Recency], 0) / COUNT(tbl_RFM[Recency])) * 5, 1)</f>
        <v>5</v>
      </c>
      <c r="D2" t="str">
        <f>B2 &amp; C2</f>
        <v>55</v>
      </c>
      <c r="E2" t="str">
        <f>_xlfn.XLOOKUP(D2, Segment_Lookup[MR_Code], Segment_Lookup[Segment])</f>
        <v>Champions</v>
      </c>
      <c r="F2" s="19"/>
      <c r="H2">
        <f>RFM_Raw!E2</f>
        <v>49.62</v>
      </c>
      <c r="I2" s="4" t="s">
        <v>67</v>
      </c>
      <c r="J2" s="4" t="s">
        <v>68</v>
      </c>
      <c r="K2" s="4" t="s">
        <v>69</v>
      </c>
      <c r="M2" t="s">
        <v>70</v>
      </c>
    </row>
    <row r="3" spans="1:17" x14ac:dyDescent="0.3">
      <c r="A3">
        <f>tbl_RFM[[#This Row],[CustomerId]]</f>
        <v>26</v>
      </c>
      <c r="B3">
        <f>CEILING((RANK(RFM_Raw!E3, tbl_RFM[Monetary], 1) / COUNT(tbl_RFM[Monetary])) * 5, 1)</f>
        <v>5</v>
      </c>
      <c r="C3">
        <f>CEILING((RANK(RFM_Raw!C3, tbl_RFM[Recency], 0) / COUNT(tbl_RFM[Recency])) * 5, 1)</f>
        <v>2</v>
      </c>
      <c r="D3" t="str">
        <f t="shared" ref="D3:D60" si="0">B3 &amp; C3</f>
        <v>52</v>
      </c>
      <c r="E3" t="str">
        <f>_xlfn.XLOOKUP(D3, Segment_Lookup[MR_Code], Segment_Lookup[Segment])</f>
        <v>Potential Loyalists</v>
      </c>
      <c r="H3">
        <f>RFM_Raw!E3</f>
        <v>47.62</v>
      </c>
      <c r="I3" s="5" t="s">
        <v>71</v>
      </c>
      <c r="J3" s="5">
        <f>COUNTIF(RFM_Scoring!E:E, I3)</f>
        <v>6</v>
      </c>
      <c r="K3" s="5">
        <f t="shared" ref="K3:K9" si="1">ROUND(J3/SUM($J$3:$J$9), 3)</f>
        <v>0.10199999999999999</v>
      </c>
      <c r="M3">
        <f>AVERAGEIF(RFM_Scoring!E:E, "Champions", RFM_Scoring!H:H)</f>
        <v>43.786666666666662</v>
      </c>
    </row>
    <row r="4" spans="1:17" ht="28.8" x14ac:dyDescent="0.3">
      <c r="A4">
        <f>tbl_RFM[[#This Row],[CustomerId]]</f>
        <v>57</v>
      </c>
      <c r="B4">
        <f>CEILING((RANK(RFM_Raw!E4, tbl_RFM[Monetary], 1) / COUNT(tbl_RFM[Monetary])) * 5, 1)</f>
        <v>5</v>
      </c>
      <c r="C4">
        <f>CEILING((RANK(RFM_Raw!C4, tbl_RFM[Recency], 0) / COUNT(tbl_RFM[Recency])) * 5, 1)</f>
        <v>1</v>
      </c>
      <c r="D4" t="str">
        <f t="shared" si="0"/>
        <v>51</v>
      </c>
      <c r="E4" t="str">
        <f>_xlfn.XLOOKUP(D4, Segment_Lookup[MR_Code], Segment_Lookup[Segment])</f>
        <v>Potential Loyalists</v>
      </c>
      <c r="H4">
        <f>RFM_Raw!E4</f>
        <v>46.62</v>
      </c>
      <c r="I4" s="5" t="s">
        <v>72</v>
      </c>
      <c r="J4" s="5">
        <f>COUNTIF(RFM_Scoring!E:E, I4)</f>
        <v>9</v>
      </c>
      <c r="K4" s="5">
        <f t="shared" si="1"/>
        <v>0.153</v>
      </c>
      <c r="M4">
        <f>AVERAGEIF(RFM_Scoring!E:E, "Loyal Customers", RFM_Scoring!H:H)</f>
        <v>41.50888888888889</v>
      </c>
    </row>
    <row r="5" spans="1:17" ht="28.8" x14ac:dyDescent="0.3">
      <c r="A5">
        <f>tbl_RFM[[#This Row],[CustomerId]]</f>
        <v>45</v>
      </c>
      <c r="B5">
        <f>CEILING((RANK(RFM_Raw!E5, tbl_RFM[Monetary], 1) / COUNT(tbl_RFM[Monetary])) * 5, 1)</f>
        <v>5</v>
      </c>
      <c r="C5">
        <f>CEILING((RANK(RFM_Raw!C5, tbl_RFM[Recency], 0) / COUNT(tbl_RFM[Recency])) * 5, 1)</f>
        <v>3</v>
      </c>
      <c r="D5" t="str">
        <f t="shared" si="0"/>
        <v>53</v>
      </c>
      <c r="E5" t="str">
        <f>_xlfn.XLOOKUP(D5, Segment_Lookup[MR_Code], Segment_Lookup[Segment])</f>
        <v>Loyal Customers</v>
      </c>
      <c r="H5">
        <f>RFM_Raw!E5</f>
        <v>45.62</v>
      </c>
      <c r="I5" s="5" t="s">
        <v>73</v>
      </c>
      <c r="J5" s="5">
        <f>COUNTIF(RFM_Scoring!E:E, I5)</f>
        <v>6</v>
      </c>
      <c r="K5" s="5">
        <f t="shared" si="1"/>
        <v>0.10199999999999999</v>
      </c>
      <c r="M5">
        <f>AVERAGEIF(RFM_Scoring!E:E, "Potential Loyalists", RFM_Scoring!H:H)</f>
        <v>42.453333333333333</v>
      </c>
    </row>
    <row r="6" spans="1:17" ht="28.8" x14ac:dyDescent="0.3">
      <c r="A6">
        <f>tbl_RFM[[#This Row],[CustomerId]]</f>
        <v>46</v>
      </c>
      <c r="B6">
        <f>CEILING((RANK(RFM_Raw!E6, tbl_RFM[Monetary], 1) / COUNT(tbl_RFM[Monetary])) * 5, 1)</f>
        <v>5</v>
      </c>
      <c r="C6">
        <f>CEILING((RANK(RFM_Raw!C6, tbl_RFM[Recency], 0) / COUNT(tbl_RFM[Recency])) * 5, 1)</f>
        <v>5</v>
      </c>
      <c r="D6" t="str">
        <f t="shared" si="0"/>
        <v>55</v>
      </c>
      <c r="E6" t="str">
        <f>_xlfn.XLOOKUP(D6, Segment_Lookup[MR_Code], Segment_Lookup[Segment])</f>
        <v>Champions</v>
      </c>
      <c r="H6">
        <f>RFM_Raw!E6</f>
        <v>45.62</v>
      </c>
      <c r="I6" s="5" t="s">
        <v>74</v>
      </c>
      <c r="J6" s="5">
        <f>COUNTIF(RFM_Scoring!E:E, I6)</f>
        <v>3</v>
      </c>
      <c r="K6" s="5">
        <f t="shared" si="1"/>
        <v>5.0999999999999997E-2</v>
      </c>
      <c r="M6">
        <f>AVERAGEIF(RFM_Scoring!E:E, "Needs Attention", RFM_Scoring!H:H)</f>
        <v>39.286666666666662</v>
      </c>
    </row>
    <row r="7" spans="1:17" x14ac:dyDescent="0.3">
      <c r="A7">
        <f>tbl_RFM[[#This Row],[CustomerId]]</f>
        <v>24</v>
      </c>
      <c r="B7">
        <f>CEILING((RANK(RFM_Raw!E7, tbl_RFM[Monetary], 1) / COUNT(tbl_RFM[Monetary])) * 5, 1)</f>
        <v>5</v>
      </c>
      <c r="C7">
        <f>CEILING((RANK(RFM_Raw!C7, tbl_RFM[Recency], 0) / COUNT(tbl_RFM[Recency])) * 5, 1)</f>
        <v>4</v>
      </c>
      <c r="D7" t="str">
        <f t="shared" si="0"/>
        <v>54</v>
      </c>
      <c r="E7" t="str">
        <f>_xlfn.XLOOKUP(D7, Segment_Lookup[MR_Code], Segment_Lookup[Segment])</f>
        <v>Champions</v>
      </c>
      <c r="H7">
        <f>RFM_Raw!E7</f>
        <v>43.62</v>
      </c>
      <c r="I7" s="5" t="s">
        <v>75</v>
      </c>
      <c r="J7" s="5">
        <f>COUNTIF(RFM_Scoring!E:E, I7)</f>
        <v>12</v>
      </c>
      <c r="K7" s="5">
        <f t="shared" si="1"/>
        <v>0.20300000000000001</v>
      </c>
      <c r="M7">
        <f>AVERAGEIF(RFM_Scoring!E:E, "At Risk", RFM_Scoring!H:H)</f>
        <v>37.619999999999997</v>
      </c>
    </row>
    <row r="8" spans="1:17" x14ac:dyDescent="0.3">
      <c r="A8">
        <f>tbl_RFM[[#This Row],[CustomerId]]</f>
        <v>28</v>
      </c>
      <c r="B8">
        <f>CEILING((RANK(RFM_Raw!E8, tbl_RFM[Monetary], 1) / COUNT(tbl_RFM[Monetary])) * 5, 1)</f>
        <v>5</v>
      </c>
      <c r="C8">
        <f>CEILING((RANK(RFM_Raw!C8, tbl_RFM[Recency], 0) / COUNT(tbl_RFM[Recency])) * 5, 1)</f>
        <v>3</v>
      </c>
      <c r="D8" t="str">
        <f t="shared" si="0"/>
        <v>53</v>
      </c>
      <c r="E8" t="str">
        <f>_xlfn.XLOOKUP(D8, Segment_Lookup[MR_Code], Segment_Lookup[Segment])</f>
        <v>Loyal Customers</v>
      </c>
      <c r="H8">
        <f>RFM_Raw!E8</f>
        <v>43.62</v>
      </c>
      <c r="I8" s="5" t="s">
        <v>76</v>
      </c>
      <c r="J8" s="5">
        <f>COUNTIF(RFM_Scoring!E:E, I8)</f>
        <v>4</v>
      </c>
      <c r="K8" s="5">
        <f t="shared" si="1"/>
        <v>6.8000000000000005E-2</v>
      </c>
      <c r="M8">
        <f>AVERAGEIF(RFM_Scoring!E:E, "Hibernating", RFM_Scoring!H:H)</f>
        <v>38.619999999999997</v>
      </c>
    </row>
    <row r="9" spans="1:17" x14ac:dyDescent="0.3">
      <c r="A9">
        <f>tbl_RFM[[#This Row],[CustomerId]]</f>
        <v>37</v>
      </c>
      <c r="B9">
        <f>CEILING((RANK(RFM_Raw!E9, tbl_RFM[Monetary], 1) / COUNT(tbl_RFM[Monetary])) * 5, 1)</f>
        <v>5</v>
      </c>
      <c r="C9">
        <f>CEILING((RANK(RFM_Raw!C9, tbl_RFM[Recency], 0) / COUNT(tbl_RFM[Recency])) * 5, 1)</f>
        <v>3</v>
      </c>
      <c r="D9" t="str">
        <f t="shared" si="0"/>
        <v>53</v>
      </c>
      <c r="E9" t="str">
        <f>_xlfn.XLOOKUP(D9, Segment_Lookup[MR_Code], Segment_Lookup[Segment])</f>
        <v>Loyal Customers</v>
      </c>
      <c r="H9">
        <f>RFM_Raw!E9</f>
        <v>43.62</v>
      </c>
      <c r="I9" s="5" t="s">
        <v>77</v>
      </c>
      <c r="J9" s="5">
        <f>COUNTIF(RFM_Scoring!E:E, I9)</f>
        <v>19</v>
      </c>
      <c r="K9" s="5">
        <f t="shared" si="1"/>
        <v>0.32200000000000001</v>
      </c>
      <c r="M9">
        <f>AVERAGEIF(RFM_Scoring!E:E, "Lost", RFM_Scoring!H:H)</f>
        <v>37.568421052631578</v>
      </c>
    </row>
    <row r="10" spans="1:17" x14ac:dyDescent="0.3">
      <c r="A10">
        <f>tbl_RFM[[#This Row],[CustomerId]]</f>
        <v>7</v>
      </c>
      <c r="B10">
        <f>CEILING((RANK(RFM_Raw!E10, tbl_RFM[Monetary], 1) / COUNT(tbl_RFM[Monetary])) * 5, 1)</f>
        <v>5</v>
      </c>
      <c r="C10">
        <f>CEILING((RANK(RFM_Raw!C10, tbl_RFM[Recency], 0) / COUNT(tbl_RFM[Recency])) * 5, 1)</f>
        <v>3</v>
      </c>
      <c r="D10" t="str">
        <f t="shared" si="0"/>
        <v>53</v>
      </c>
      <c r="E10" t="str">
        <f>_xlfn.XLOOKUP(D10, Segment_Lookup[MR_Code], Segment_Lookup[Segment])</f>
        <v>Loyal Customers</v>
      </c>
      <c r="H10">
        <f>RFM_Raw!E10</f>
        <v>42.62</v>
      </c>
    </row>
    <row r="11" spans="1:17" x14ac:dyDescent="0.3">
      <c r="A11">
        <f>tbl_RFM[[#This Row],[CustomerId]]</f>
        <v>25</v>
      </c>
      <c r="B11">
        <f>CEILING((RANK(RFM_Raw!E11, tbl_RFM[Monetary], 1) / COUNT(tbl_RFM[Monetary])) * 5, 1)</f>
        <v>5</v>
      </c>
      <c r="C11">
        <f>CEILING((RANK(RFM_Raw!C11, tbl_RFM[Recency], 0) / COUNT(tbl_RFM[Recency])) * 5, 1)</f>
        <v>5</v>
      </c>
      <c r="D11" t="str">
        <f t="shared" si="0"/>
        <v>55</v>
      </c>
      <c r="E11" t="str">
        <f>_xlfn.XLOOKUP(D11, Segment_Lookup[MR_Code], Segment_Lookup[Segment])</f>
        <v>Champions</v>
      </c>
      <c r="H11">
        <f>RFM_Raw!E11</f>
        <v>42.62</v>
      </c>
      <c r="I11" s="4"/>
      <c r="J11" s="4"/>
    </row>
    <row r="12" spans="1:17" ht="28.8" x14ac:dyDescent="0.3">
      <c r="A12">
        <f>tbl_RFM[[#This Row],[CustomerId]]</f>
        <v>44</v>
      </c>
      <c r="B12">
        <f>CEILING((RANK(RFM_Raw!E12, tbl_RFM[Monetary], 1) / COUNT(tbl_RFM[Monetary])) * 5, 1)</f>
        <v>5</v>
      </c>
      <c r="C12">
        <f>CEILING((RANK(RFM_Raw!C12, tbl_RFM[Recency], 0) / COUNT(tbl_RFM[Recency])) * 5, 1)</f>
        <v>5</v>
      </c>
      <c r="D12" t="str">
        <f t="shared" si="0"/>
        <v>55</v>
      </c>
      <c r="E12" t="str">
        <f>_xlfn.XLOOKUP(D12, Segment_Lookup[MR_Code], Segment_Lookup[Segment])</f>
        <v>Champions</v>
      </c>
      <c r="H12">
        <f>RFM_Raw!E12</f>
        <v>41.62</v>
      </c>
      <c r="I12" s="5" t="s">
        <v>78</v>
      </c>
      <c r="J12" s="21">
        <f>M3</f>
        <v>43.786666666666662</v>
      </c>
    </row>
    <row r="13" spans="1:17" ht="28.8" x14ac:dyDescent="0.3">
      <c r="A13">
        <f>tbl_RFM[[#This Row],[CustomerId]]</f>
        <v>5</v>
      </c>
      <c r="B13">
        <f>CEILING((RANK(RFM_Raw!E13, tbl_RFM[Monetary], 1) / COUNT(tbl_RFM[Monetary])) * 5, 1)</f>
        <v>4</v>
      </c>
      <c r="C13">
        <f>CEILING((RANK(RFM_Raw!C13, tbl_RFM[Recency], 0) / COUNT(tbl_RFM[Recency])) * 5, 1)</f>
        <v>2</v>
      </c>
      <c r="D13" t="str">
        <f t="shared" si="0"/>
        <v>42</v>
      </c>
      <c r="E13" t="str">
        <f>_xlfn.XLOOKUP(D13, Segment_Lookup[MR_Code], Segment_Lookup[Segment])</f>
        <v>Potential Loyalists</v>
      </c>
      <c r="H13">
        <f>RFM_Raw!E13</f>
        <v>40.619999999999997</v>
      </c>
      <c r="I13" s="5" t="s">
        <v>79</v>
      </c>
      <c r="J13" s="21">
        <f>M7</f>
        <v>37.619999999999997</v>
      </c>
    </row>
    <row r="14" spans="1:17" ht="15" x14ac:dyDescent="0.3">
      <c r="A14">
        <f>tbl_RFM[[#This Row],[CustomerId]]</f>
        <v>43</v>
      </c>
      <c r="B14">
        <f>CEILING((RANK(RFM_Raw!E14, tbl_RFM[Monetary], 1) / COUNT(tbl_RFM[Monetary])) * 5, 1)</f>
        <v>4</v>
      </c>
      <c r="C14">
        <f>CEILING((RANK(RFM_Raw!C14, tbl_RFM[Recency], 0) / COUNT(tbl_RFM[Recency])) * 5, 1)</f>
        <v>3</v>
      </c>
      <c r="D14" t="str">
        <f t="shared" si="0"/>
        <v>43</v>
      </c>
      <c r="E14" t="str">
        <f>_xlfn.XLOOKUP(D14, Segment_Lookup[MR_Code], Segment_Lookup[Segment])</f>
        <v>Potential Loyalists</v>
      </c>
      <c r="H14">
        <f>RFM_Raw!E14</f>
        <v>40.619999999999997</v>
      </c>
      <c r="I14" s="5" t="s">
        <v>80</v>
      </c>
      <c r="J14" s="21">
        <f>M4 - M7</f>
        <v>3.8888888888888928</v>
      </c>
    </row>
    <row r="15" spans="1:17" ht="28.8" x14ac:dyDescent="0.3">
      <c r="A15">
        <f>tbl_RFM[[#This Row],[CustomerId]]</f>
        <v>48</v>
      </c>
      <c r="B15">
        <f>CEILING((RANK(RFM_Raw!E15, tbl_RFM[Monetary], 1) / COUNT(tbl_RFM[Monetary])) * 5, 1)</f>
        <v>4</v>
      </c>
      <c r="C15">
        <f>CEILING((RANK(RFM_Raw!C15, tbl_RFM[Recency], 0) / COUNT(tbl_RFM[Recency])) * 5, 1)</f>
        <v>4</v>
      </c>
      <c r="D15" t="str">
        <f t="shared" si="0"/>
        <v>44</v>
      </c>
      <c r="E15" t="str">
        <f>_xlfn.XLOOKUP(D15, Segment_Lookup[MR_Code], Segment_Lookup[Segment])</f>
        <v>Loyal Customers</v>
      </c>
      <c r="H15">
        <f>RFM_Raw!E15</f>
        <v>40.619999999999997</v>
      </c>
      <c r="I15" s="5" t="s">
        <v>81</v>
      </c>
      <c r="J15" s="21">
        <f>J7</f>
        <v>12</v>
      </c>
      <c r="P15" s="5"/>
      <c r="Q15" s="21"/>
    </row>
    <row r="16" spans="1:17" ht="43.2" x14ac:dyDescent="0.3">
      <c r="A16">
        <f>tbl_RFM[[#This Row],[CustomerId]]</f>
        <v>1</v>
      </c>
      <c r="B16">
        <f>CEILING((RANK(RFM_Raw!E16, tbl_RFM[Monetary], 1) / COUNT(tbl_RFM[Monetary])) * 5, 1)</f>
        <v>4</v>
      </c>
      <c r="C16">
        <f>CEILING((RANK(RFM_Raw!C16, tbl_RFM[Recency], 0) / COUNT(tbl_RFM[Recency])) * 5, 1)</f>
        <v>3</v>
      </c>
      <c r="D16" t="str">
        <f t="shared" si="0"/>
        <v>43</v>
      </c>
      <c r="E16" t="str">
        <f>_xlfn.XLOOKUP(D16, Segment_Lookup[MR_Code], Segment_Lookup[Segment])</f>
        <v>Potential Loyalists</v>
      </c>
      <c r="H16">
        <f>RFM_Raw!E16</f>
        <v>39.619999999999997</v>
      </c>
      <c r="I16" s="5" t="s">
        <v>82</v>
      </c>
      <c r="J16" s="23">
        <v>0.2</v>
      </c>
      <c r="L16" s="5"/>
      <c r="M16" s="21"/>
      <c r="P16" s="5"/>
      <c r="Q16" s="21"/>
    </row>
    <row r="17" spans="1:17" ht="28.8" x14ac:dyDescent="0.3">
      <c r="A17">
        <f>tbl_RFM[[#This Row],[CustomerId]]</f>
        <v>3</v>
      </c>
      <c r="B17">
        <f>CEILING((RANK(RFM_Raw!E17, tbl_RFM[Monetary], 1) / COUNT(tbl_RFM[Monetary])) * 5, 1)</f>
        <v>4</v>
      </c>
      <c r="C17">
        <f>CEILING((RANK(RFM_Raw!C17, tbl_RFM[Recency], 0) / COUNT(tbl_RFM[Recency])) * 5, 1)</f>
        <v>4</v>
      </c>
      <c r="D17" t="str">
        <f t="shared" si="0"/>
        <v>44</v>
      </c>
      <c r="E17" t="str">
        <f>_xlfn.XLOOKUP(D17, Segment_Lookup[MR_Code], Segment_Lookup[Segment])</f>
        <v>Loyal Customers</v>
      </c>
      <c r="H17">
        <f>RFM_Raw!E17</f>
        <v>39.619999999999997</v>
      </c>
      <c r="I17" s="22" t="s">
        <v>83</v>
      </c>
      <c r="J17" s="21">
        <f>J14 * J16 * J7</f>
        <v>9.3333333333333428</v>
      </c>
      <c r="L17" s="5"/>
      <c r="M17" s="21"/>
      <c r="P17" s="5"/>
      <c r="Q17" s="21"/>
    </row>
    <row r="18" spans="1:17" ht="15" x14ac:dyDescent="0.3">
      <c r="A18">
        <f>tbl_RFM[[#This Row],[CustomerId]]</f>
        <v>4</v>
      </c>
      <c r="B18">
        <f>CEILING((RANK(RFM_Raw!E18, tbl_RFM[Monetary], 1) / COUNT(tbl_RFM[Monetary])) * 5, 1)</f>
        <v>4</v>
      </c>
      <c r="C18">
        <f>CEILING((RANK(RFM_Raw!C18, tbl_RFM[Recency], 0) / COUNT(tbl_RFM[Recency])) * 5, 1)</f>
        <v>4</v>
      </c>
      <c r="D18" t="str">
        <f t="shared" si="0"/>
        <v>44</v>
      </c>
      <c r="E18" t="str">
        <f>_xlfn.XLOOKUP(D18, Segment_Lookup[MR_Code], Segment_Lookup[Segment])</f>
        <v>Loyal Customers</v>
      </c>
      <c r="H18">
        <f>RFM_Raw!E18</f>
        <v>39.619999999999997</v>
      </c>
      <c r="L18" s="5"/>
      <c r="M18" s="21"/>
      <c r="P18" s="5"/>
      <c r="Q18" s="21"/>
    </row>
    <row r="19" spans="1:17" ht="15" x14ac:dyDescent="0.3">
      <c r="A19">
        <f>tbl_RFM[[#This Row],[CustomerId]]</f>
        <v>17</v>
      </c>
      <c r="B19">
        <f>CEILING((RANK(RFM_Raw!E19, tbl_RFM[Monetary], 1) / COUNT(tbl_RFM[Monetary])) * 5, 1)</f>
        <v>4</v>
      </c>
      <c r="C19">
        <f>CEILING((RANK(RFM_Raw!C19, tbl_RFM[Recency], 0) / COUNT(tbl_RFM[Recency])) * 5, 1)</f>
        <v>1</v>
      </c>
      <c r="D19" t="str">
        <f t="shared" si="0"/>
        <v>41</v>
      </c>
      <c r="E19" t="str">
        <f>_xlfn.XLOOKUP(D19, Segment_Lookup[MR_Code], Segment_Lookup[Segment])</f>
        <v>Needs Attention</v>
      </c>
      <c r="H19">
        <f>RFM_Raw!E19</f>
        <v>39.619999999999997</v>
      </c>
      <c r="L19" s="5"/>
      <c r="M19" s="21"/>
      <c r="P19" s="5"/>
      <c r="Q19" s="23"/>
    </row>
    <row r="20" spans="1:17" ht="15" x14ac:dyDescent="0.3">
      <c r="A20">
        <f>tbl_RFM[[#This Row],[CustomerId]]</f>
        <v>20</v>
      </c>
      <c r="B20">
        <f>CEILING((RANK(RFM_Raw!E20, tbl_RFM[Monetary], 1) / COUNT(tbl_RFM[Monetary])) * 5, 1)</f>
        <v>4</v>
      </c>
      <c r="C20">
        <f>CEILING((RANK(RFM_Raw!C20, tbl_RFM[Recency], 0) / COUNT(tbl_RFM[Recency])) * 5, 1)</f>
        <v>5</v>
      </c>
      <c r="D20" t="str">
        <f t="shared" si="0"/>
        <v>45</v>
      </c>
      <c r="E20" t="str">
        <f>_xlfn.XLOOKUP(D20, Segment_Lookup[MR_Code], Segment_Lookup[Segment])</f>
        <v>Champions</v>
      </c>
      <c r="H20">
        <f>RFM_Raw!E20</f>
        <v>39.619999999999997</v>
      </c>
      <c r="L20" s="5"/>
      <c r="M20" s="23"/>
      <c r="P20" s="22"/>
      <c r="Q20" s="21"/>
    </row>
    <row r="21" spans="1:17" ht="15" x14ac:dyDescent="0.3">
      <c r="A21">
        <f>tbl_RFM[[#This Row],[CustomerId]]</f>
        <v>22</v>
      </c>
      <c r="B21">
        <f>CEILING((RANK(RFM_Raw!E21, tbl_RFM[Monetary], 1) / COUNT(tbl_RFM[Monetary])) * 5, 1)</f>
        <v>4</v>
      </c>
      <c r="C21">
        <f>CEILING((RANK(RFM_Raw!C21, tbl_RFM[Recency], 0) / COUNT(tbl_RFM[Recency])) * 5, 1)</f>
        <v>3</v>
      </c>
      <c r="D21" t="str">
        <f t="shared" si="0"/>
        <v>43</v>
      </c>
      <c r="E21" t="str">
        <f>_xlfn.XLOOKUP(D21, Segment_Lookup[MR_Code], Segment_Lookup[Segment])</f>
        <v>Potential Loyalists</v>
      </c>
      <c r="H21">
        <f>RFM_Raw!E21</f>
        <v>39.619999999999997</v>
      </c>
      <c r="L21" s="22"/>
      <c r="M21" s="21"/>
    </row>
    <row r="22" spans="1:17" x14ac:dyDescent="0.3">
      <c r="A22">
        <f>tbl_RFM[[#This Row],[CustomerId]]</f>
        <v>34</v>
      </c>
      <c r="B22">
        <f>CEILING((RANK(RFM_Raw!E22, tbl_RFM[Monetary], 1) / COUNT(tbl_RFM[Monetary])) * 5, 1)</f>
        <v>4</v>
      </c>
      <c r="C22">
        <f>CEILING((RANK(RFM_Raw!C22, tbl_RFM[Recency], 0) / COUNT(tbl_RFM[Recency])) * 5, 1)</f>
        <v>1</v>
      </c>
      <c r="D22" t="str">
        <f t="shared" si="0"/>
        <v>41</v>
      </c>
      <c r="E22" t="str">
        <f>_xlfn.XLOOKUP(D22, Segment_Lookup[MR_Code], Segment_Lookup[Segment])</f>
        <v>Needs Attention</v>
      </c>
      <c r="H22">
        <f>RFM_Raw!E22</f>
        <v>39.619999999999997</v>
      </c>
    </row>
    <row r="23" spans="1:17" x14ac:dyDescent="0.3">
      <c r="A23">
        <f>tbl_RFM[[#This Row],[CustomerId]]</f>
        <v>42</v>
      </c>
      <c r="B23">
        <f>CEILING((RANK(RFM_Raw!E23, tbl_RFM[Monetary], 1) / COUNT(tbl_RFM[Monetary])) * 5, 1)</f>
        <v>4</v>
      </c>
      <c r="C23">
        <f>CEILING((RANK(RFM_Raw!C23, tbl_RFM[Recency], 0) / COUNT(tbl_RFM[Recency])) * 5, 1)</f>
        <v>4</v>
      </c>
      <c r="D23" t="str">
        <f t="shared" si="0"/>
        <v>44</v>
      </c>
      <c r="E23" t="str">
        <f>_xlfn.XLOOKUP(D23, Segment_Lookup[MR_Code], Segment_Lookup[Segment])</f>
        <v>Loyal Customers</v>
      </c>
      <c r="H23">
        <f>RFM_Raw!E23</f>
        <v>39.619999999999997</v>
      </c>
    </row>
    <row r="24" spans="1:17" x14ac:dyDescent="0.3">
      <c r="A24">
        <f>tbl_RFM[[#This Row],[CustomerId]]</f>
        <v>15</v>
      </c>
      <c r="B24">
        <f>CEILING((RANK(RFM_Raw!E24, tbl_RFM[Monetary], 1) / COUNT(tbl_RFM[Monetary])) * 5, 1)</f>
        <v>3</v>
      </c>
      <c r="C24">
        <f>CEILING((RANK(RFM_Raw!C24, tbl_RFM[Recency], 0) / COUNT(tbl_RFM[Recency])) * 5, 1)</f>
        <v>2</v>
      </c>
      <c r="D24" t="str">
        <f t="shared" si="0"/>
        <v>32</v>
      </c>
      <c r="E24" t="str">
        <f>_xlfn.XLOOKUP(D24, Segment_Lookup[MR_Code], Segment_Lookup[Segment])</f>
        <v>Hibernating</v>
      </c>
      <c r="H24">
        <f>RFM_Raw!E24</f>
        <v>38.619999999999997</v>
      </c>
    </row>
    <row r="25" spans="1:17" x14ac:dyDescent="0.3">
      <c r="A25">
        <f>tbl_RFM[[#This Row],[CustomerId]]</f>
        <v>19</v>
      </c>
      <c r="B25">
        <f>CEILING((RANK(RFM_Raw!E25, tbl_RFM[Monetary], 1) / COUNT(tbl_RFM[Monetary])) * 5, 1)</f>
        <v>3</v>
      </c>
      <c r="C25">
        <f>CEILING((RANK(RFM_Raw!C25, tbl_RFM[Recency], 0) / COUNT(tbl_RFM[Recency])) * 5, 1)</f>
        <v>1</v>
      </c>
      <c r="D25" t="str">
        <f t="shared" si="0"/>
        <v>31</v>
      </c>
      <c r="E25" t="str">
        <f>_xlfn.XLOOKUP(D25, Segment_Lookup[MR_Code], Segment_Lookup[Segment])</f>
        <v>Hibernating</v>
      </c>
      <c r="H25">
        <f>RFM_Raw!E25</f>
        <v>38.619999999999997</v>
      </c>
    </row>
    <row r="26" spans="1:17" x14ac:dyDescent="0.3">
      <c r="A26">
        <f>tbl_RFM[[#This Row],[CustomerId]]</f>
        <v>39</v>
      </c>
      <c r="B26">
        <f>CEILING((RANK(RFM_Raw!E26, tbl_RFM[Monetary], 1) / COUNT(tbl_RFM[Monetary])) * 5, 1)</f>
        <v>3</v>
      </c>
      <c r="C26">
        <f>CEILING((RANK(RFM_Raw!C26, tbl_RFM[Recency], 0) / COUNT(tbl_RFM[Recency])) * 5, 1)</f>
        <v>4</v>
      </c>
      <c r="D26" t="str">
        <f t="shared" si="0"/>
        <v>34</v>
      </c>
      <c r="E26" t="str">
        <f>_xlfn.XLOOKUP(D26, Segment_Lookup[MR_Code], Segment_Lookup[Segment])</f>
        <v>Needs Attention</v>
      </c>
      <c r="H26">
        <f>RFM_Raw!E26</f>
        <v>38.619999999999997</v>
      </c>
    </row>
    <row r="27" spans="1:17" x14ac:dyDescent="0.3">
      <c r="A27">
        <f>tbl_RFM[[#This Row],[CustomerId]]</f>
        <v>40</v>
      </c>
      <c r="B27">
        <f>CEILING((RANK(RFM_Raw!E27, tbl_RFM[Monetary], 1) / COUNT(tbl_RFM[Monetary])) * 5, 1)</f>
        <v>3</v>
      </c>
      <c r="C27">
        <f>CEILING((RANK(RFM_Raw!C27, tbl_RFM[Recency], 0) / COUNT(tbl_RFM[Recency])) * 5, 1)</f>
        <v>1</v>
      </c>
      <c r="D27" t="str">
        <f t="shared" si="0"/>
        <v>31</v>
      </c>
      <c r="E27" t="str">
        <f>_xlfn.XLOOKUP(D27, Segment_Lookup[MR_Code], Segment_Lookup[Segment])</f>
        <v>Hibernating</v>
      </c>
      <c r="H27">
        <f>RFM_Raw!E27</f>
        <v>38.619999999999997</v>
      </c>
    </row>
    <row r="28" spans="1:17" x14ac:dyDescent="0.3">
      <c r="A28">
        <f>tbl_RFM[[#This Row],[CustomerId]]</f>
        <v>51</v>
      </c>
      <c r="B28">
        <f>CEILING((RANK(RFM_Raw!E28, tbl_RFM[Monetary], 1) / COUNT(tbl_RFM[Monetary])) * 5, 1)</f>
        <v>3</v>
      </c>
      <c r="C28">
        <f>CEILING((RANK(RFM_Raw!C28, tbl_RFM[Recency], 0) / COUNT(tbl_RFM[Recency])) * 5, 1)</f>
        <v>2</v>
      </c>
      <c r="D28" t="str">
        <f t="shared" si="0"/>
        <v>32</v>
      </c>
      <c r="E28" t="str">
        <f>_xlfn.XLOOKUP(D28, Segment_Lookup[MR_Code], Segment_Lookup[Segment])</f>
        <v>Hibernating</v>
      </c>
      <c r="H28">
        <f>RFM_Raw!E28</f>
        <v>38.619999999999997</v>
      </c>
    </row>
    <row r="29" spans="1:17" x14ac:dyDescent="0.3">
      <c r="A29">
        <f>tbl_RFM[[#This Row],[CustomerId]]</f>
        <v>58</v>
      </c>
      <c r="B29">
        <f>CEILING((RANK(RFM_Raw!E29, tbl_RFM[Monetary], 1) / COUNT(tbl_RFM[Monetary])) * 5, 1)</f>
        <v>3</v>
      </c>
      <c r="C29">
        <f>CEILING((RANK(RFM_Raw!C29, tbl_RFM[Recency], 0) / COUNT(tbl_RFM[Recency])) * 5, 1)</f>
        <v>5</v>
      </c>
      <c r="D29" t="str">
        <f t="shared" si="0"/>
        <v>35</v>
      </c>
      <c r="E29" t="str">
        <f>_xlfn.XLOOKUP(D29, Segment_Lookup[MR_Code], Segment_Lookup[Segment])</f>
        <v>Loyal Customers</v>
      </c>
      <c r="H29">
        <f>RFM_Raw!E29</f>
        <v>38.619999999999997</v>
      </c>
    </row>
    <row r="30" spans="1:17" x14ac:dyDescent="0.3">
      <c r="A30">
        <f>tbl_RFM[[#This Row],[CustomerId]]</f>
        <v>2</v>
      </c>
      <c r="B30">
        <f>CEILING((RANK(RFM_Raw!E30, tbl_RFM[Monetary], 1) / COUNT(tbl_RFM[Monetary])) * 5, 1)</f>
        <v>1</v>
      </c>
      <c r="C30">
        <f>CEILING((RANK(RFM_Raw!C30, tbl_RFM[Recency], 0) / COUNT(tbl_RFM[Recency])) * 5, 1)</f>
        <v>1</v>
      </c>
      <c r="D30" t="str">
        <f t="shared" si="0"/>
        <v>11</v>
      </c>
      <c r="E30" t="str">
        <f>_xlfn.XLOOKUP(D30, Segment_Lookup[MR_Code], Segment_Lookup[Segment])</f>
        <v>Lost</v>
      </c>
      <c r="H30">
        <f>RFM_Raw!E30</f>
        <v>37.619999999999997</v>
      </c>
    </row>
    <row r="31" spans="1:17" x14ac:dyDescent="0.3">
      <c r="A31">
        <f>tbl_RFM[[#This Row],[CustomerId]]</f>
        <v>8</v>
      </c>
      <c r="B31">
        <f>CEILING((RANK(RFM_Raw!E31, tbl_RFM[Monetary], 1) / COUNT(tbl_RFM[Monetary])) * 5, 1)</f>
        <v>1</v>
      </c>
      <c r="C31">
        <f>CEILING((RANK(RFM_Raw!C31, tbl_RFM[Recency], 0) / COUNT(tbl_RFM[Recency])) * 5, 1)</f>
        <v>4</v>
      </c>
      <c r="D31" t="str">
        <f t="shared" si="0"/>
        <v>14</v>
      </c>
      <c r="E31" t="str">
        <f>_xlfn.XLOOKUP(D31, Segment_Lookup[MR_Code], Segment_Lookup[Segment])</f>
        <v>At Risk</v>
      </c>
      <c r="H31">
        <f>RFM_Raw!E31</f>
        <v>37.619999999999997</v>
      </c>
    </row>
    <row r="32" spans="1:17" x14ac:dyDescent="0.3">
      <c r="A32">
        <f>tbl_RFM[[#This Row],[CustomerId]]</f>
        <v>9</v>
      </c>
      <c r="B32">
        <f>CEILING((RANK(RFM_Raw!E32, tbl_RFM[Monetary], 1) / COUNT(tbl_RFM[Monetary])) * 5, 1)</f>
        <v>1</v>
      </c>
      <c r="C32">
        <f>CEILING((RANK(RFM_Raw!C32, tbl_RFM[Recency], 0) / COUNT(tbl_RFM[Recency])) * 5, 1)</f>
        <v>2</v>
      </c>
      <c r="D32" t="str">
        <f t="shared" si="0"/>
        <v>12</v>
      </c>
      <c r="E32" t="str">
        <f>_xlfn.XLOOKUP(D32, Segment_Lookup[MR_Code], Segment_Lookup[Segment])</f>
        <v>Lost</v>
      </c>
      <c r="H32">
        <f>RFM_Raw!E32</f>
        <v>37.619999999999997</v>
      </c>
    </row>
    <row r="33" spans="1:8" x14ac:dyDescent="0.3">
      <c r="A33">
        <f>tbl_RFM[[#This Row],[CustomerId]]</f>
        <v>10</v>
      </c>
      <c r="B33">
        <f>CEILING((RANK(RFM_Raw!E33, tbl_RFM[Monetary], 1) / COUNT(tbl_RFM[Monetary])) * 5, 1)</f>
        <v>1</v>
      </c>
      <c r="C33">
        <f>CEILING((RANK(RFM_Raw!C33, tbl_RFM[Recency], 0) / COUNT(tbl_RFM[Recency])) * 5, 1)</f>
        <v>3</v>
      </c>
      <c r="D33" t="str">
        <f t="shared" si="0"/>
        <v>13</v>
      </c>
      <c r="E33" t="str">
        <f>_xlfn.XLOOKUP(D33, Segment_Lookup[MR_Code], Segment_Lookup[Segment])</f>
        <v>Lost</v>
      </c>
      <c r="H33">
        <f>RFM_Raw!E33</f>
        <v>37.619999999999997</v>
      </c>
    </row>
    <row r="34" spans="1:8" x14ac:dyDescent="0.3">
      <c r="A34">
        <f>tbl_RFM[[#This Row],[CustomerId]]</f>
        <v>11</v>
      </c>
      <c r="B34">
        <f>CEILING((RANK(RFM_Raw!E34, tbl_RFM[Monetary], 1) / COUNT(tbl_RFM[Monetary])) * 5, 1)</f>
        <v>1</v>
      </c>
      <c r="C34">
        <f>CEILING((RANK(RFM_Raw!C34, tbl_RFM[Recency], 0) / COUNT(tbl_RFM[Recency])) * 5, 1)</f>
        <v>2</v>
      </c>
      <c r="D34" t="str">
        <f t="shared" si="0"/>
        <v>12</v>
      </c>
      <c r="E34" t="str">
        <f>_xlfn.XLOOKUP(D34, Segment_Lookup[MR_Code], Segment_Lookup[Segment])</f>
        <v>Lost</v>
      </c>
      <c r="H34">
        <f>RFM_Raw!E34</f>
        <v>37.619999999999997</v>
      </c>
    </row>
    <row r="35" spans="1:8" x14ac:dyDescent="0.3">
      <c r="A35">
        <f>tbl_RFM[[#This Row],[CustomerId]]</f>
        <v>12</v>
      </c>
      <c r="B35">
        <f>CEILING((RANK(RFM_Raw!E35, tbl_RFM[Monetary], 1) / COUNT(tbl_RFM[Monetary])) * 5, 1)</f>
        <v>1</v>
      </c>
      <c r="C35">
        <f>CEILING((RANK(RFM_Raw!C35, tbl_RFM[Recency], 0) / COUNT(tbl_RFM[Recency])) * 5, 1)</f>
        <v>4</v>
      </c>
      <c r="D35" t="str">
        <f t="shared" si="0"/>
        <v>14</v>
      </c>
      <c r="E35" t="str">
        <f>_xlfn.XLOOKUP(D35, Segment_Lookup[MR_Code], Segment_Lookup[Segment])</f>
        <v>At Risk</v>
      </c>
      <c r="H35">
        <f>RFM_Raw!E35</f>
        <v>37.619999999999997</v>
      </c>
    </row>
    <row r="36" spans="1:8" x14ac:dyDescent="0.3">
      <c r="A36">
        <f>tbl_RFM[[#This Row],[CustomerId]]</f>
        <v>13</v>
      </c>
      <c r="B36">
        <f>CEILING((RANK(RFM_Raw!E36, tbl_RFM[Monetary], 1) / COUNT(tbl_RFM[Monetary])) * 5, 1)</f>
        <v>1</v>
      </c>
      <c r="C36">
        <f>CEILING((RANK(RFM_Raw!C36, tbl_RFM[Recency], 0) / COUNT(tbl_RFM[Recency])) * 5, 1)</f>
        <v>1</v>
      </c>
      <c r="D36" t="str">
        <f t="shared" si="0"/>
        <v>11</v>
      </c>
      <c r="E36" t="str">
        <f>_xlfn.XLOOKUP(D36, Segment_Lookup[MR_Code], Segment_Lookup[Segment])</f>
        <v>Lost</v>
      </c>
      <c r="H36">
        <f>RFM_Raw!E36</f>
        <v>37.619999999999997</v>
      </c>
    </row>
    <row r="37" spans="1:8" x14ac:dyDescent="0.3">
      <c r="A37">
        <f>tbl_RFM[[#This Row],[CustomerId]]</f>
        <v>14</v>
      </c>
      <c r="B37">
        <f>CEILING((RANK(RFM_Raw!E37, tbl_RFM[Monetary], 1) / COUNT(tbl_RFM[Monetary])) * 5, 1)</f>
        <v>1</v>
      </c>
      <c r="C37">
        <f>CEILING((RANK(RFM_Raw!C37, tbl_RFM[Recency], 0) / COUNT(tbl_RFM[Recency])) * 5, 1)</f>
        <v>2</v>
      </c>
      <c r="D37" t="str">
        <f t="shared" si="0"/>
        <v>12</v>
      </c>
      <c r="E37" t="str">
        <f>_xlfn.XLOOKUP(D37, Segment_Lookup[MR_Code], Segment_Lookup[Segment])</f>
        <v>Lost</v>
      </c>
      <c r="H37">
        <f>RFM_Raw!E37</f>
        <v>37.619999999999997</v>
      </c>
    </row>
    <row r="38" spans="1:8" x14ac:dyDescent="0.3">
      <c r="A38">
        <f>tbl_RFM[[#This Row],[CustomerId]]</f>
        <v>16</v>
      </c>
      <c r="B38">
        <f>CEILING((RANK(RFM_Raw!E38, tbl_RFM[Monetary], 1) / COUNT(tbl_RFM[Monetary])) * 5, 1)</f>
        <v>1</v>
      </c>
      <c r="C38">
        <f>CEILING((RANK(RFM_Raw!C38, tbl_RFM[Recency], 0) / COUNT(tbl_RFM[Recency])) * 5, 1)</f>
        <v>3</v>
      </c>
      <c r="D38" t="str">
        <f t="shared" si="0"/>
        <v>13</v>
      </c>
      <c r="E38" t="str">
        <f>_xlfn.XLOOKUP(D38, Segment_Lookup[MR_Code], Segment_Lookup[Segment])</f>
        <v>Lost</v>
      </c>
      <c r="H38">
        <f>RFM_Raw!E38</f>
        <v>37.619999999999997</v>
      </c>
    </row>
    <row r="39" spans="1:8" x14ac:dyDescent="0.3">
      <c r="A39">
        <f>tbl_RFM[[#This Row],[CustomerId]]</f>
        <v>18</v>
      </c>
      <c r="B39">
        <f>CEILING((RANK(RFM_Raw!E39, tbl_RFM[Monetary], 1) / COUNT(tbl_RFM[Monetary])) * 5, 1)</f>
        <v>1</v>
      </c>
      <c r="C39">
        <f>CEILING((RANK(RFM_Raw!C39, tbl_RFM[Recency], 0) / COUNT(tbl_RFM[Recency])) * 5, 1)</f>
        <v>4</v>
      </c>
      <c r="D39" t="str">
        <f t="shared" si="0"/>
        <v>14</v>
      </c>
      <c r="E39" t="str">
        <f>_xlfn.XLOOKUP(D39, Segment_Lookup[MR_Code], Segment_Lookup[Segment])</f>
        <v>At Risk</v>
      </c>
      <c r="H39">
        <f>RFM_Raw!E39</f>
        <v>37.619999999999997</v>
      </c>
    </row>
    <row r="40" spans="1:8" x14ac:dyDescent="0.3">
      <c r="A40">
        <f>tbl_RFM[[#This Row],[CustomerId]]</f>
        <v>21</v>
      </c>
      <c r="B40">
        <f>CEILING((RANK(RFM_Raw!E40, tbl_RFM[Monetary], 1) / COUNT(tbl_RFM[Monetary])) * 5, 1)</f>
        <v>1</v>
      </c>
      <c r="C40">
        <f>CEILING((RANK(RFM_Raw!C40, tbl_RFM[Recency], 0) / COUNT(tbl_RFM[Recency])) * 5, 1)</f>
        <v>5</v>
      </c>
      <c r="D40" t="str">
        <f t="shared" si="0"/>
        <v>15</v>
      </c>
      <c r="E40" t="str">
        <f>_xlfn.XLOOKUP(D40, Segment_Lookup[MR_Code], Segment_Lookup[Segment])</f>
        <v>At Risk</v>
      </c>
      <c r="H40">
        <f>RFM_Raw!E40</f>
        <v>37.619999999999997</v>
      </c>
    </row>
    <row r="41" spans="1:8" x14ac:dyDescent="0.3">
      <c r="A41">
        <f>tbl_RFM[[#This Row],[CustomerId]]</f>
        <v>23</v>
      </c>
      <c r="B41">
        <f>CEILING((RANK(RFM_Raw!E41, tbl_RFM[Monetary], 1) / COUNT(tbl_RFM[Monetary])) * 5, 1)</f>
        <v>1</v>
      </c>
      <c r="C41">
        <f>CEILING((RANK(RFM_Raw!C41, tbl_RFM[Recency], 0) / COUNT(tbl_RFM[Recency])) * 5, 1)</f>
        <v>5</v>
      </c>
      <c r="D41" t="str">
        <f t="shared" si="0"/>
        <v>15</v>
      </c>
      <c r="E41" t="str">
        <f>_xlfn.XLOOKUP(D41, Segment_Lookup[MR_Code], Segment_Lookup[Segment])</f>
        <v>At Risk</v>
      </c>
      <c r="H41">
        <f>RFM_Raw!E41</f>
        <v>37.619999999999997</v>
      </c>
    </row>
    <row r="42" spans="1:8" x14ac:dyDescent="0.3">
      <c r="A42">
        <f>tbl_RFM[[#This Row],[CustomerId]]</f>
        <v>27</v>
      </c>
      <c r="B42">
        <f>CEILING((RANK(RFM_Raw!E42, tbl_RFM[Monetary], 1) / COUNT(tbl_RFM[Monetary])) * 5, 1)</f>
        <v>1</v>
      </c>
      <c r="C42">
        <f>CEILING((RANK(RFM_Raw!C42, tbl_RFM[Recency], 0) / COUNT(tbl_RFM[Recency])) * 5, 1)</f>
        <v>4</v>
      </c>
      <c r="D42" t="str">
        <f t="shared" si="0"/>
        <v>14</v>
      </c>
      <c r="E42" t="str">
        <f>_xlfn.XLOOKUP(D42, Segment_Lookup[MR_Code], Segment_Lookup[Segment])</f>
        <v>At Risk</v>
      </c>
      <c r="H42">
        <f>RFM_Raw!E42</f>
        <v>37.619999999999997</v>
      </c>
    </row>
    <row r="43" spans="1:8" x14ac:dyDescent="0.3">
      <c r="A43">
        <f>tbl_RFM[[#This Row],[CustomerId]]</f>
        <v>29</v>
      </c>
      <c r="B43">
        <f>CEILING((RANK(RFM_Raw!E43, tbl_RFM[Monetary], 1) / COUNT(tbl_RFM[Monetary])) * 5, 1)</f>
        <v>1</v>
      </c>
      <c r="C43">
        <f>CEILING((RANK(RFM_Raw!C43, tbl_RFM[Recency], 0) / COUNT(tbl_RFM[Recency])) * 5, 1)</f>
        <v>5</v>
      </c>
      <c r="D43" t="str">
        <f t="shared" si="0"/>
        <v>15</v>
      </c>
      <c r="E43" t="str">
        <f>_xlfn.XLOOKUP(D43, Segment_Lookup[MR_Code], Segment_Lookup[Segment])</f>
        <v>At Risk</v>
      </c>
      <c r="H43">
        <f>RFM_Raw!E43</f>
        <v>37.619999999999997</v>
      </c>
    </row>
    <row r="44" spans="1:8" x14ac:dyDescent="0.3">
      <c r="A44">
        <f>tbl_RFM[[#This Row],[CustomerId]]</f>
        <v>30</v>
      </c>
      <c r="B44">
        <f>CEILING((RANK(RFM_Raw!E44, tbl_RFM[Monetary], 1) / COUNT(tbl_RFM[Monetary])) * 5, 1)</f>
        <v>1</v>
      </c>
      <c r="C44">
        <f>CEILING((RANK(RFM_Raw!C44, tbl_RFM[Recency], 0) / COUNT(tbl_RFM[Recency])) * 5, 1)</f>
        <v>2</v>
      </c>
      <c r="D44" t="str">
        <f t="shared" si="0"/>
        <v>12</v>
      </c>
      <c r="E44" t="str">
        <f>_xlfn.XLOOKUP(D44, Segment_Lookup[MR_Code], Segment_Lookup[Segment])</f>
        <v>Lost</v>
      </c>
      <c r="H44">
        <f>RFM_Raw!E44</f>
        <v>37.619999999999997</v>
      </c>
    </row>
    <row r="45" spans="1:8" x14ac:dyDescent="0.3">
      <c r="A45">
        <f>tbl_RFM[[#This Row],[CustomerId]]</f>
        <v>31</v>
      </c>
      <c r="B45">
        <f>CEILING((RANK(RFM_Raw!E45, tbl_RFM[Monetary], 1) / COUNT(tbl_RFM[Monetary])) * 5, 1)</f>
        <v>1</v>
      </c>
      <c r="C45">
        <f>CEILING((RANK(RFM_Raw!C45, tbl_RFM[Recency], 0) / COUNT(tbl_RFM[Recency])) * 5, 1)</f>
        <v>3</v>
      </c>
      <c r="D45" t="str">
        <f t="shared" si="0"/>
        <v>13</v>
      </c>
      <c r="E45" t="str">
        <f>_xlfn.XLOOKUP(D45, Segment_Lookup[MR_Code], Segment_Lookup[Segment])</f>
        <v>Lost</v>
      </c>
      <c r="H45">
        <f>RFM_Raw!E45</f>
        <v>37.619999999999997</v>
      </c>
    </row>
    <row r="46" spans="1:8" x14ac:dyDescent="0.3">
      <c r="A46">
        <f>tbl_RFM[[#This Row],[CustomerId]]</f>
        <v>32</v>
      </c>
      <c r="B46">
        <f>CEILING((RANK(RFM_Raw!E46, tbl_RFM[Monetary], 1) / COUNT(tbl_RFM[Monetary])) * 5, 1)</f>
        <v>1</v>
      </c>
      <c r="C46">
        <f>CEILING((RANK(RFM_Raw!C46, tbl_RFM[Recency], 0) / COUNT(tbl_RFM[Recency])) * 5, 1)</f>
        <v>2</v>
      </c>
      <c r="D46" t="str">
        <f t="shared" si="0"/>
        <v>12</v>
      </c>
      <c r="E46" t="str">
        <f>_xlfn.XLOOKUP(D46, Segment_Lookup[MR_Code], Segment_Lookup[Segment])</f>
        <v>Lost</v>
      </c>
      <c r="H46">
        <f>RFM_Raw!E46</f>
        <v>37.619999999999997</v>
      </c>
    </row>
    <row r="47" spans="1:8" x14ac:dyDescent="0.3">
      <c r="A47">
        <f>tbl_RFM[[#This Row],[CustomerId]]</f>
        <v>33</v>
      </c>
      <c r="B47">
        <f>CEILING((RANK(RFM_Raw!E47, tbl_RFM[Monetary], 1) / COUNT(tbl_RFM[Monetary])) * 5, 1)</f>
        <v>1</v>
      </c>
      <c r="C47">
        <f>CEILING((RANK(RFM_Raw!C47, tbl_RFM[Recency], 0) / COUNT(tbl_RFM[Recency])) * 5, 1)</f>
        <v>4</v>
      </c>
      <c r="D47" t="str">
        <f t="shared" si="0"/>
        <v>14</v>
      </c>
      <c r="E47" t="str">
        <f>_xlfn.XLOOKUP(D47, Segment_Lookup[MR_Code], Segment_Lookup[Segment])</f>
        <v>At Risk</v>
      </c>
      <c r="H47">
        <f>RFM_Raw!E47</f>
        <v>37.619999999999997</v>
      </c>
    </row>
    <row r="48" spans="1:8" x14ac:dyDescent="0.3">
      <c r="A48">
        <f>tbl_RFM[[#This Row],[CustomerId]]</f>
        <v>35</v>
      </c>
      <c r="B48">
        <f>CEILING((RANK(RFM_Raw!E48, tbl_RFM[Monetary], 1) / COUNT(tbl_RFM[Monetary])) * 5, 1)</f>
        <v>1</v>
      </c>
      <c r="C48">
        <f>CEILING((RANK(RFM_Raw!C48, tbl_RFM[Recency], 0) / COUNT(tbl_RFM[Recency])) * 5, 1)</f>
        <v>5</v>
      </c>
      <c r="D48" t="str">
        <f t="shared" si="0"/>
        <v>15</v>
      </c>
      <c r="E48" t="str">
        <f>_xlfn.XLOOKUP(D48, Segment_Lookup[MR_Code], Segment_Lookup[Segment])</f>
        <v>At Risk</v>
      </c>
      <c r="H48">
        <f>RFM_Raw!E48</f>
        <v>37.619999999999997</v>
      </c>
    </row>
    <row r="49" spans="1:8" x14ac:dyDescent="0.3">
      <c r="A49">
        <f>tbl_RFM[[#This Row],[CustomerId]]</f>
        <v>36</v>
      </c>
      <c r="B49">
        <f>CEILING((RANK(RFM_Raw!E49, tbl_RFM[Monetary], 1) / COUNT(tbl_RFM[Monetary])) * 5, 1)</f>
        <v>1</v>
      </c>
      <c r="C49">
        <f>CEILING((RANK(RFM_Raw!C49, tbl_RFM[Recency], 0) / COUNT(tbl_RFM[Recency])) * 5, 1)</f>
        <v>1</v>
      </c>
      <c r="D49" t="str">
        <f t="shared" si="0"/>
        <v>11</v>
      </c>
      <c r="E49" t="str">
        <f>_xlfn.XLOOKUP(D49, Segment_Lookup[MR_Code], Segment_Lookup[Segment])</f>
        <v>Lost</v>
      </c>
      <c r="H49">
        <f>RFM_Raw!E49</f>
        <v>37.619999999999997</v>
      </c>
    </row>
    <row r="50" spans="1:8" x14ac:dyDescent="0.3">
      <c r="A50">
        <f>tbl_RFM[[#This Row],[CustomerId]]</f>
        <v>38</v>
      </c>
      <c r="B50">
        <f>CEILING((RANK(RFM_Raw!E50, tbl_RFM[Monetary], 1) / COUNT(tbl_RFM[Monetary])) * 5, 1)</f>
        <v>1</v>
      </c>
      <c r="C50">
        <f>CEILING((RANK(RFM_Raw!C50, tbl_RFM[Recency], 0) / COUNT(tbl_RFM[Recency])) * 5, 1)</f>
        <v>1</v>
      </c>
      <c r="D50" t="str">
        <f t="shared" si="0"/>
        <v>11</v>
      </c>
      <c r="E50" t="str">
        <f>_xlfn.XLOOKUP(D50, Segment_Lookup[MR_Code], Segment_Lookup[Segment])</f>
        <v>Lost</v>
      </c>
      <c r="H50">
        <f>RFM_Raw!E50</f>
        <v>37.619999999999997</v>
      </c>
    </row>
    <row r="51" spans="1:8" x14ac:dyDescent="0.3">
      <c r="A51">
        <f>tbl_RFM[[#This Row],[CustomerId]]</f>
        <v>41</v>
      </c>
      <c r="B51">
        <f>CEILING((RANK(RFM_Raw!E51, tbl_RFM[Monetary], 1) / COUNT(tbl_RFM[Monetary])) * 5, 1)</f>
        <v>1</v>
      </c>
      <c r="C51">
        <f>CEILING((RANK(RFM_Raw!C51, tbl_RFM[Recency], 0) / COUNT(tbl_RFM[Recency])) * 5, 1)</f>
        <v>4</v>
      </c>
      <c r="D51" t="str">
        <f t="shared" si="0"/>
        <v>14</v>
      </c>
      <c r="E51" t="str">
        <f>_xlfn.XLOOKUP(D51, Segment_Lookup[MR_Code], Segment_Lookup[Segment])</f>
        <v>At Risk</v>
      </c>
      <c r="H51">
        <f>RFM_Raw!E51</f>
        <v>37.619999999999997</v>
      </c>
    </row>
    <row r="52" spans="1:8" x14ac:dyDescent="0.3">
      <c r="A52">
        <f>tbl_RFM[[#This Row],[CustomerId]]</f>
        <v>47</v>
      </c>
      <c r="B52">
        <f>CEILING((RANK(RFM_Raw!E52, tbl_RFM[Monetary], 1) / COUNT(tbl_RFM[Monetary])) * 5, 1)</f>
        <v>1</v>
      </c>
      <c r="C52">
        <f>CEILING((RANK(RFM_Raw!C52, tbl_RFM[Recency], 0) / COUNT(tbl_RFM[Recency])) * 5, 1)</f>
        <v>2</v>
      </c>
      <c r="D52" t="str">
        <f t="shared" si="0"/>
        <v>12</v>
      </c>
      <c r="E52" t="str">
        <f>_xlfn.XLOOKUP(D52, Segment_Lookup[MR_Code], Segment_Lookup[Segment])</f>
        <v>Lost</v>
      </c>
      <c r="H52">
        <f>RFM_Raw!E52</f>
        <v>37.619999999999997</v>
      </c>
    </row>
    <row r="53" spans="1:8" x14ac:dyDescent="0.3">
      <c r="A53">
        <f>tbl_RFM[[#This Row],[CustomerId]]</f>
        <v>49</v>
      </c>
      <c r="B53">
        <f>CEILING((RANK(RFM_Raw!E53, tbl_RFM[Monetary], 1) / COUNT(tbl_RFM[Monetary])) * 5, 1)</f>
        <v>1</v>
      </c>
      <c r="C53">
        <f>CEILING((RANK(RFM_Raw!C53, tbl_RFM[Recency], 0) / COUNT(tbl_RFM[Recency])) * 5, 1)</f>
        <v>2</v>
      </c>
      <c r="D53" t="str">
        <f t="shared" si="0"/>
        <v>12</v>
      </c>
      <c r="E53" t="str">
        <f>_xlfn.XLOOKUP(D53, Segment_Lookup[MR_Code], Segment_Lookup[Segment])</f>
        <v>Lost</v>
      </c>
      <c r="H53">
        <f>RFM_Raw!E53</f>
        <v>37.619999999999997</v>
      </c>
    </row>
    <row r="54" spans="1:8" x14ac:dyDescent="0.3">
      <c r="A54">
        <f>tbl_RFM[[#This Row],[CustomerId]]</f>
        <v>50</v>
      </c>
      <c r="B54">
        <f>CEILING((RANK(RFM_Raw!E54, tbl_RFM[Monetary], 1) / COUNT(tbl_RFM[Monetary])) * 5, 1)</f>
        <v>1</v>
      </c>
      <c r="C54">
        <f>CEILING((RANK(RFM_Raw!C54, tbl_RFM[Recency], 0) / COUNT(tbl_RFM[Recency])) * 5, 1)</f>
        <v>5</v>
      </c>
      <c r="D54" t="str">
        <f t="shared" si="0"/>
        <v>15</v>
      </c>
      <c r="E54" t="str">
        <f>_xlfn.XLOOKUP(D54, Segment_Lookup[MR_Code], Segment_Lookup[Segment])</f>
        <v>At Risk</v>
      </c>
      <c r="H54">
        <f>RFM_Raw!E54</f>
        <v>37.619999999999997</v>
      </c>
    </row>
    <row r="55" spans="1:8" x14ac:dyDescent="0.3">
      <c r="A55">
        <f>tbl_RFM[[#This Row],[CustomerId]]</f>
        <v>52</v>
      </c>
      <c r="B55">
        <f>CEILING((RANK(RFM_Raw!E55, tbl_RFM[Monetary], 1) / COUNT(tbl_RFM[Monetary])) * 5, 1)</f>
        <v>1</v>
      </c>
      <c r="C55">
        <f>CEILING((RANK(RFM_Raw!C55, tbl_RFM[Recency], 0) / COUNT(tbl_RFM[Recency])) * 5, 1)</f>
        <v>3</v>
      </c>
      <c r="D55" t="str">
        <f t="shared" si="0"/>
        <v>13</v>
      </c>
      <c r="E55" t="str">
        <f>_xlfn.XLOOKUP(D55, Segment_Lookup[MR_Code], Segment_Lookup[Segment])</f>
        <v>Lost</v>
      </c>
      <c r="H55">
        <f>RFM_Raw!E55</f>
        <v>37.619999999999997</v>
      </c>
    </row>
    <row r="56" spans="1:8" x14ac:dyDescent="0.3">
      <c r="A56">
        <f>tbl_RFM[[#This Row],[CustomerId]]</f>
        <v>53</v>
      </c>
      <c r="B56">
        <f>CEILING((RANK(RFM_Raw!E56, tbl_RFM[Monetary], 1) / COUNT(tbl_RFM[Monetary])) * 5, 1)</f>
        <v>1</v>
      </c>
      <c r="C56">
        <f>CEILING((RANK(RFM_Raw!C56, tbl_RFM[Recency], 0) / COUNT(tbl_RFM[Recency])) * 5, 1)</f>
        <v>2</v>
      </c>
      <c r="D56" t="str">
        <f t="shared" si="0"/>
        <v>12</v>
      </c>
      <c r="E56" t="str">
        <f>_xlfn.XLOOKUP(D56, Segment_Lookup[MR_Code], Segment_Lookup[Segment])</f>
        <v>Lost</v>
      </c>
      <c r="H56">
        <f>RFM_Raw!E56</f>
        <v>37.619999999999997</v>
      </c>
    </row>
    <row r="57" spans="1:8" x14ac:dyDescent="0.3">
      <c r="A57">
        <f>tbl_RFM[[#This Row],[CustomerId]]</f>
        <v>54</v>
      </c>
      <c r="B57">
        <f>CEILING((RANK(RFM_Raw!E57, tbl_RFM[Monetary], 1) / COUNT(tbl_RFM[Monetary])) * 5, 1)</f>
        <v>1</v>
      </c>
      <c r="C57">
        <f>CEILING((RANK(RFM_Raw!C57, tbl_RFM[Recency], 0) / COUNT(tbl_RFM[Recency])) * 5, 1)</f>
        <v>3</v>
      </c>
      <c r="D57" t="str">
        <f t="shared" si="0"/>
        <v>13</v>
      </c>
      <c r="E57" t="str">
        <f>_xlfn.XLOOKUP(D57, Segment_Lookup[MR_Code], Segment_Lookup[Segment])</f>
        <v>Lost</v>
      </c>
      <c r="H57">
        <f>RFM_Raw!E57</f>
        <v>37.619999999999997</v>
      </c>
    </row>
    <row r="58" spans="1:8" x14ac:dyDescent="0.3">
      <c r="A58">
        <f>tbl_RFM[[#This Row],[CustomerId]]</f>
        <v>55</v>
      </c>
      <c r="B58">
        <f>CEILING((RANK(RFM_Raw!E58, tbl_RFM[Monetary], 1) / COUNT(tbl_RFM[Monetary])) * 5, 1)</f>
        <v>1</v>
      </c>
      <c r="C58">
        <f>CEILING((RANK(RFM_Raw!C58, tbl_RFM[Recency], 0) / COUNT(tbl_RFM[Recency])) * 5, 1)</f>
        <v>1</v>
      </c>
      <c r="D58" t="str">
        <f t="shared" si="0"/>
        <v>11</v>
      </c>
      <c r="E58" t="str">
        <f>_xlfn.XLOOKUP(D58, Segment_Lookup[MR_Code], Segment_Lookup[Segment])</f>
        <v>Lost</v>
      </c>
      <c r="H58">
        <f>RFM_Raw!E58</f>
        <v>37.619999999999997</v>
      </c>
    </row>
    <row r="59" spans="1:8" x14ac:dyDescent="0.3">
      <c r="A59">
        <f>tbl_RFM[[#This Row],[CustomerId]]</f>
        <v>56</v>
      </c>
      <c r="B59">
        <f>CEILING((RANK(RFM_Raw!E59, tbl_RFM[Monetary], 1) / COUNT(tbl_RFM[Monetary])) * 5, 1)</f>
        <v>1</v>
      </c>
      <c r="C59">
        <f>CEILING((RANK(RFM_Raw!C59, tbl_RFM[Recency], 0) / COUNT(tbl_RFM[Recency])) * 5, 1)</f>
        <v>5</v>
      </c>
      <c r="D59" t="str">
        <f t="shared" si="0"/>
        <v>15</v>
      </c>
      <c r="E59" t="str">
        <f>_xlfn.XLOOKUP(D59, Segment_Lookup[MR_Code], Segment_Lookup[Segment])</f>
        <v>At Risk</v>
      </c>
      <c r="H59">
        <f>RFM_Raw!E59</f>
        <v>37.619999999999997</v>
      </c>
    </row>
    <row r="60" spans="1:8" x14ac:dyDescent="0.3">
      <c r="A60">
        <f>tbl_RFM[[#This Row],[CustomerId]]</f>
        <v>59</v>
      </c>
      <c r="B60">
        <f>CEILING((RANK(RFM_Raw!E60, tbl_RFM[Monetary], 1) / COUNT(tbl_RFM[Monetary])) * 5, 1)</f>
        <v>1</v>
      </c>
      <c r="C60">
        <f>CEILING((RANK(RFM_Raw!C60, tbl_RFM[Recency], 0) / COUNT(tbl_RFM[Recency])) * 5, 1)</f>
        <v>1</v>
      </c>
      <c r="D60" t="str">
        <f t="shared" si="0"/>
        <v>11</v>
      </c>
      <c r="E60" t="str">
        <f>_xlfn.XLOOKUP(D60, Segment_Lookup[MR_Code], Segment_Lookup[Segment])</f>
        <v>Lost</v>
      </c>
      <c r="H60">
        <f>RFM_Raw!E60</f>
        <v>36.64</v>
      </c>
    </row>
    <row r="70" spans="6:8" x14ac:dyDescent="0.3">
      <c r="F70" s="4"/>
      <c r="G70" s="4"/>
      <c r="H70" s="4"/>
    </row>
    <row r="71" spans="6:8" x14ac:dyDescent="0.3">
      <c r="F71" s="5"/>
      <c r="G71" s="5"/>
      <c r="H71" s="5"/>
    </row>
    <row r="72" spans="6:8" x14ac:dyDescent="0.3">
      <c r="F72" s="5"/>
      <c r="G72" s="5"/>
      <c r="H72" s="5"/>
    </row>
    <row r="73" spans="6:8" x14ac:dyDescent="0.3">
      <c r="F73" s="5"/>
      <c r="G73" s="5"/>
      <c r="H73" s="5"/>
    </row>
    <row r="74" spans="6:8" x14ac:dyDescent="0.3">
      <c r="F74" s="5"/>
      <c r="G74" s="5"/>
      <c r="H74" s="5"/>
    </row>
    <row r="75" spans="6:8" x14ac:dyDescent="0.3">
      <c r="F75" s="5"/>
      <c r="G75" s="5"/>
      <c r="H75" s="5"/>
    </row>
    <row r="76" spans="6:8" x14ac:dyDescent="0.3">
      <c r="F76" s="5"/>
      <c r="G76" s="5"/>
      <c r="H76" s="5"/>
    </row>
    <row r="77" spans="6:8" x14ac:dyDescent="0.3">
      <c r="F77" s="5"/>
      <c r="G77" s="5"/>
      <c r="H77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E306-7D6D-4018-B9AA-8724A6BCD984}">
  <dimension ref="A1:N30"/>
  <sheetViews>
    <sheetView zoomScale="78" workbookViewId="0">
      <selection activeCell="A5" sqref="A5"/>
    </sheetView>
  </sheetViews>
  <sheetFormatPr defaultRowHeight="14.4" x14ac:dyDescent="0.3"/>
  <cols>
    <col min="1" max="1" width="10.88671875" customWidth="1"/>
    <col min="2" max="2" width="10.44140625" customWidth="1"/>
    <col min="5" max="5" width="10.6640625" customWidth="1"/>
    <col min="6" max="6" width="10.109375" customWidth="1"/>
    <col min="9" max="9" width="13.33203125" customWidth="1"/>
  </cols>
  <sheetData>
    <row r="1" spans="1:14" x14ac:dyDescent="0.3">
      <c r="A1" s="17" t="s">
        <v>66</v>
      </c>
      <c r="B1" s="17" t="s">
        <v>67</v>
      </c>
      <c r="C1" s="4"/>
      <c r="D1" s="4"/>
      <c r="E1" s="20" t="s">
        <v>66</v>
      </c>
      <c r="F1" s="17" t="s">
        <v>67</v>
      </c>
    </row>
    <row r="2" spans="1:14" x14ac:dyDescent="0.3">
      <c r="A2" s="6">
        <v>55</v>
      </c>
      <c r="B2" s="7" t="s">
        <v>71</v>
      </c>
      <c r="C2" s="5"/>
      <c r="D2" s="5"/>
      <c r="E2" s="5" t="str">
        <f>TEXT(A2,"0")</f>
        <v>55</v>
      </c>
      <c r="F2" s="6" t="s">
        <v>71</v>
      </c>
    </row>
    <row r="3" spans="1:14" x14ac:dyDescent="0.3">
      <c r="A3" s="8">
        <v>54</v>
      </c>
      <c r="B3" s="9" t="s">
        <v>71</v>
      </c>
      <c r="C3" s="5"/>
      <c r="D3" s="5"/>
      <c r="E3" s="5" t="str">
        <f t="shared" ref="E3:E25" si="0">TEXT(A3,"0")</f>
        <v>54</v>
      </c>
      <c r="F3" s="8" t="s">
        <v>71</v>
      </c>
      <c r="H3" s="6"/>
      <c r="I3" s="7"/>
      <c r="K3" s="5"/>
    </row>
    <row r="4" spans="1:14" x14ac:dyDescent="0.3">
      <c r="A4" s="6">
        <v>45</v>
      </c>
      <c r="B4" s="7" t="s">
        <v>71</v>
      </c>
      <c r="C4" s="5"/>
      <c r="D4" s="5"/>
      <c r="E4" s="5" t="str">
        <f t="shared" si="0"/>
        <v>45</v>
      </c>
      <c r="F4" s="6" t="s">
        <v>71</v>
      </c>
      <c r="H4" s="8"/>
      <c r="I4" s="9"/>
      <c r="K4" s="5" t="str">
        <f t="shared" ref="K4:K27" si="1">TEXT(G4,"0")</f>
        <v>0</v>
      </c>
    </row>
    <row r="5" spans="1:14" ht="28.8" x14ac:dyDescent="0.3">
      <c r="A5" s="8">
        <v>53</v>
      </c>
      <c r="B5" s="9" t="s">
        <v>72</v>
      </c>
      <c r="C5" s="5"/>
      <c r="D5" s="5"/>
      <c r="E5" s="5" t="str">
        <f t="shared" si="0"/>
        <v>53</v>
      </c>
      <c r="F5" s="8" t="s">
        <v>72</v>
      </c>
      <c r="H5" s="6"/>
      <c r="I5" s="7"/>
      <c r="K5" s="5" t="str">
        <f t="shared" si="1"/>
        <v>0</v>
      </c>
      <c r="M5" s="12"/>
      <c r="N5" s="13"/>
    </row>
    <row r="6" spans="1:14" ht="28.8" x14ac:dyDescent="0.3">
      <c r="A6" s="6">
        <v>44</v>
      </c>
      <c r="B6" s="7" t="s">
        <v>72</v>
      </c>
      <c r="C6" s="5"/>
      <c r="D6" s="5"/>
      <c r="E6" s="5" t="str">
        <f t="shared" si="0"/>
        <v>44</v>
      </c>
      <c r="F6" s="6" t="s">
        <v>72</v>
      </c>
      <c r="H6" s="8"/>
      <c r="I6" s="9"/>
      <c r="K6" s="5" t="str">
        <f t="shared" si="1"/>
        <v>0</v>
      </c>
      <c r="M6" s="14"/>
      <c r="N6" s="7"/>
    </row>
    <row r="7" spans="1:14" ht="28.8" x14ac:dyDescent="0.3">
      <c r="A7" s="8">
        <v>35</v>
      </c>
      <c r="B7" s="9" t="s">
        <v>72</v>
      </c>
      <c r="C7" s="5"/>
      <c r="D7" s="5"/>
      <c r="E7" s="5" t="str">
        <f>TEXT(A7,"0")</f>
        <v>35</v>
      </c>
      <c r="F7" s="8" t="s">
        <v>72</v>
      </c>
      <c r="H7" s="6"/>
      <c r="I7" s="7"/>
      <c r="K7" s="5" t="str">
        <f t="shared" si="1"/>
        <v>0</v>
      </c>
      <c r="M7" s="15"/>
      <c r="N7" s="9"/>
    </row>
    <row r="8" spans="1:14" ht="28.8" x14ac:dyDescent="0.3">
      <c r="A8" s="7">
        <v>52</v>
      </c>
      <c r="B8" s="6" t="s">
        <v>73</v>
      </c>
      <c r="C8" s="5"/>
      <c r="D8" s="5"/>
      <c r="E8" s="5" t="str">
        <f t="shared" si="0"/>
        <v>52</v>
      </c>
      <c r="F8" s="6" t="s">
        <v>73</v>
      </c>
      <c r="H8" s="8"/>
      <c r="I8" s="9"/>
      <c r="K8" s="5" t="str">
        <f t="shared" si="1"/>
        <v>0</v>
      </c>
      <c r="M8" s="14"/>
      <c r="N8" s="7"/>
    </row>
    <row r="9" spans="1:14" ht="28.8" x14ac:dyDescent="0.3">
      <c r="A9" s="7">
        <v>51</v>
      </c>
      <c r="B9" s="6" t="s">
        <v>73</v>
      </c>
      <c r="C9" s="5"/>
      <c r="D9" s="5"/>
      <c r="E9" s="5" t="str">
        <f t="shared" si="0"/>
        <v>51</v>
      </c>
      <c r="F9" s="6" t="s">
        <v>73</v>
      </c>
      <c r="H9" s="7"/>
      <c r="I9" s="6"/>
      <c r="K9" s="5" t="str">
        <f t="shared" si="1"/>
        <v>0</v>
      </c>
      <c r="M9" s="15"/>
      <c r="N9" s="9"/>
    </row>
    <row r="10" spans="1:14" ht="28.8" x14ac:dyDescent="0.3">
      <c r="A10" s="7">
        <v>43</v>
      </c>
      <c r="B10" s="6" t="s">
        <v>73</v>
      </c>
      <c r="C10" s="5"/>
      <c r="D10" s="5"/>
      <c r="E10" s="5" t="str">
        <f t="shared" si="0"/>
        <v>43</v>
      </c>
      <c r="F10" s="6" t="s">
        <v>73</v>
      </c>
      <c r="H10" s="7"/>
      <c r="I10" s="6"/>
      <c r="K10" s="5" t="str">
        <f t="shared" si="1"/>
        <v>0</v>
      </c>
      <c r="M10" s="14"/>
      <c r="N10" s="7"/>
    </row>
    <row r="11" spans="1:14" ht="28.8" x14ac:dyDescent="0.3">
      <c r="A11" s="7">
        <v>42</v>
      </c>
      <c r="B11" s="6" t="s">
        <v>73</v>
      </c>
      <c r="C11" s="5"/>
      <c r="D11" s="5"/>
      <c r="E11" s="5" t="str">
        <f t="shared" si="0"/>
        <v>42</v>
      </c>
      <c r="F11" s="6" t="s">
        <v>73</v>
      </c>
      <c r="H11" s="7"/>
      <c r="I11" s="6"/>
      <c r="K11" s="5" t="str">
        <f t="shared" si="1"/>
        <v>0</v>
      </c>
      <c r="M11" s="15"/>
      <c r="N11" s="9"/>
    </row>
    <row r="12" spans="1:14" ht="28.8" x14ac:dyDescent="0.3">
      <c r="A12" s="7">
        <v>33</v>
      </c>
      <c r="B12" s="6" t="s">
        <v>74</v>
      </c>
      <c r="C12" s="5"/>
      <c r="D12" s="5"/>
      <c r="E12" s="5" t="str">
        <f t="shared" si="0"/>
        <v>33</v>
      </c>
      <c r="F12" s="6" t="s">
        <v>74</v>
      </c>
      <c r="H12" s="7"/>
      <c r="I12" s="6"/>
      <c r="K12" s="5" t="str">
        <f t="shared" si="1"/>
        <v>0</v>
      </c>
      <c r="M12" s="16"/>
      <c r="N12" s="6"/>
    </row>
    <row r="13" spans="1:14" ht="28.8" x14ac:dyDescent="0.3">
      <c r="A13" s="7">
        <v>34</v>
      </c>
      <c r="B13" s="8" t="s">
        <v>74</v>
      </c>
      <c r="C13" s="5"/>
      <c r="D13" s="5"/>
      <c r="E13" s="5" t="str">
        <f t="shared" si="0"/>
        <v>34</v>
      </c>
      <c r="F13" s="8" t="s">
        <v>74</v>
      </c>
      <c r="H13" s="9"/>
      <c r="I13" s="8"/>
      <c r="K13" s="5" t="str">
        <f t="shared" si="1"/>
        <v>0</v>
      </c>
      <c r="M13" s="16"/>
      <c r="N13" s="6"/>
    </row>
    <row r="14" spans="1:14" ht="28.8" x14ac:dyDescent="0.3">
      <c r="A14" s="7">
        <v>41</v>
      </c>
      <c r="B14" s="6" t="s">
        <v>74</v>
      </c>
      <c r="C14" s="5"/>
      <c r="D14" s="5"/>
      <c r="E14" s="5" t="str">
        <f t="shared" si="0"/>
        <v>41</v>
      </c>
      <c r="F14" s="6" t="s">
        <v>74</v>
      </c>
      <c r="H14" s="10"/>
      <c r="I14" s="8"/>
      <c r="K14" s="5" t="str">
        <f t="shared" si="1"/>
        <v>0</v>
      </c>
      <c r="M14" s="16"/>
      <c r="N14" s="6"/>
    </row>
    <row r="15" spans="1:14" x14ac:dyDescent="0.3">
      <c r="A15" s="6">
        <v>25</v>
      </c>
      <c r="B15" s="6" t="s">
        <v>75</v>
      </c>
      <c r="C15" s="5"/>
      <c r="D15" s="5"/>
      <c r="E15" s="5" t="str">
        <f t="shared" si="0"/>
        <v>25</v>
      </c>
      <c r="F15" s="6" t="s">
        <v>75</v>
      </c>
      <c r="H15" s="10"/>
      <c r="I15" s="8"/>
      <c r="K15" s="5" t="str">
        <f t="shared" si="1"/>
        <v>0</v>
      </c>
      <c r="M15" s="16"/>
      <c r="N15" s="6"/>
    </row>
    <row r="16" spans="1:14" x14ac:dyDescent="0.3">
      <c r="A16" s="6">
        <v>24</v>
      </c>
      <c r="B16" s="6" t="s">
        <v>75</v>
      </c>
      <c r="C16" s="5"/>
      <c r="D16" s="5"/>
      <c r="E16" s="5" t="str">
        <f t="shared" si="0"/>
        <v>24</v>
      </c>
      <c r="F16" s="6" t="s">
        <v>75</v>
      </c>
      <c r="H16" s="6"/>
      <c r="I16" s="6"/>
      <c r="K16" s="5" t="str">
        <f t="shared" si="1"/>
        <v>0</v>
      </c>
      <c r="M16" s="16"/>
      <c r="N16" s="6"/>
    </row>
    <row r="17" spans="1:14" x14ac:dyDescent="0.3">
      <c r="A17" s="6">
        <v>15</v>
      </c>
      <c r="B17" s="6" t="s">
        <v>75</v>
      </c>
      <c r="C17" s="5"/>
      <c r="D17" s="5"/>
      <c r="E17" s="5" t="str">
        <f t="shared" si="0"/>
        <v>15</v>
      </c>
      <c r="F17" s="6" t="s">
        <v>75</v>
      </c>
      <c r="H17" s="11"/>
      <c r="I17" s="6"/>
      <c r="K17" s="5" t="str">
        <f t="shared" si="1"/>
        <v>0</v>
      </c>
      <c r="M17" s="16"/>
      <c r="N17" s="8"/>
    </row>
    <row r="18" spans="1:14" x14ac:dyDescent="0.3">
      <c r="A18" s="6">
        <v>14</v>
      </c>
      <c r="B18" s="6" t="s">
        <v>75</v>
      </c>
      <c r="C18" s="5"/>
      <c r="D18" s="5"/>
      <c r="E18" s="5" t="str">
        <f t="shared" si="0"/>
        <v>14</v>
      </c>
      <c r="F18" s="6" t="s">
        <v>75</v>
      </c>
      <c r="H18" s="11"/>
      <c r="I18" s="6"/>
      <c r="K18" s="5" t="str">
        <f t="shared" si="1"/>
        <v>0</v>
      </c>
      <c r="M18" s="16"/>
      <c r="N18" s="6"/>
    </row>
    <row r="19" spans="1:14" ht="28.8" x14ac:dyDescent="0.3">
      <c r="A19" s="7">
        <v>31</v>
      </c>
      <c r="B19" s="8" t="s">
        <v>76</v>
      </c>
      <c r="C19" s="5"/>
      <c r="D19" s="5"/>
      <c r="E19" s="5" t="str">
        <f t="shared" si="0"/>
        <v>31</v>
      </c>
      <c r="F19" s="8" t="s">
        <v>76</v>
      </c>
      <c r="H19" s="11"/>
      <c r="I19" s="6"/>
      <c r="K19" s="5" t="str">
        <f t="shared" si="1"/>
        <v>0</v>
      </c>
      <c r="M19" s="14"/>
      <c r="N19" s="6"/>
    </row>
    <row r="20" spans="1:14" ht="28.8" x14ac:dyDescent="0.3">
      <c r="A20" s="6">
        <v>32</v>
      </c>
      <c r="B20" s="6" t="s">
        <v>76</v>
      </c>
      <c r="C20" s="5"/>
      <c r="D20" s="5"/>
      <c r="E20" s="5" t="str">
        <f t="shared" si="0"/>
        <v>32</v>
      </c>
      <c r="F20" s="6" t="s">
        <v>76</v>
      </c>
      <c r="H20" s="7"/>
      <c r="I20" s="8"/>
      <c r="K20" s="5" t="str">
        <f t="shared" si="1"/>
        <v>0</v>
      </c>
      <c r="M20" s="14"/>
      <c r="N20" s="6"/>
    </row>
    <row r="21" spans="1:14" ht="28.8" x14ac:dyDescent="0.3">
      <c r="A21" s="6">
        <v>21</v>
      </c>
      <c r="B21" s="8" t="s">
        <v>76</v>
      </c>
      <c r="C21" s="5"/>
      <c r="D21" s="5"/>
      <c r="E21" s="5" t="str">
        <f t="shared" si="0"/>
        <v>21</v>
      </c>
      <c r="F21" s="8" t="s">
        <v>76</v>
      </c>
      <c r="H21" s="11"/>
      <c r="I21" s="8"/>
      <c r="K21" s="5" t="str">
        <f t="shared" si="1"/>
        <v>0</v>
      </c>
      <c r="M21" s="14"/>
      <c r="N21" s="6"/>
    </row>
    <row r="22" spans="1:14" ht="28.8" x14ac:dyDescent="0.3">
      <c r="A22" s="6">
        <v>22</v>
      </c>
      <c r="B22" s="6" t="s">
        <v>76</v>
      </c>
      <c r="C22" s="5"/>
      <c r="D22" s="5"/>
      <c r="E22" s="5" t="str">
        <f t="shared" si="0"/>
        <v>22</v>
      </c>
      <c r="F22" s="6" t="s">
        <v>76</v>
      </c>
      <c r="H22" s="11"/>
      <c r="I22" s="8"/>
      <c r="K22" s="5" t="str">
        <f t="shared" si="1"/>
        <v>0</v>
      </c>
      <c r="M22" s="14"/>
      <c r="N22" s="6"/>
    </row>
    <row r="23" spans="1:14" ht="28.8" x14ac:dyDescent="0.3">
      <c r="A23" s="6">
        <v>23</v>
      </c>
      <c r="B23" s="8" t="s">
        <v>76</v>
      </c>
      <c r="C23" s="5"/>
      <c r="D23" s="5"/>
      <c r="E23" s="5" t="str">
        <f t="shared" si="0"/>
        <v>23</v>
      </c>
      <c r="F23" s="8" t="s">
        <v>76</v>
      </c>
      <c r="H23" s="11"/>
      <c r="I23" s="8"/>
      <c r="K23" s="5" t="str">
        <f t="shared" si="1"/>
        <v>0</v>
      </c>
      <c r="M23" s="16"/>
      <c r="N23" s="8"/>
    </row>
    <row r="24" spans="1:14" x14ac:dyDescent="0.3">
      <c r="A24" s="6">
        <v>11</v>
      </c>
      <c r="B24" s="6" t="s">
        <v>77</v>
      </c>
      <c r="C24" s="5"/>
      <c r="D24" s="5"/>
      <c r="E24" s="5" t="str">
        <f t="shared" si="0"/>
        <v>11</v>
      </c>
      <c r="F24" s="6" t="s">
        <v>77</v>
      </c>
      <c r="H24" s="11"/>
      <c r="I24" s="8"/>
      <c r="K24" s="5" t="str">
        <f t="shared" si="1"/>
        <v>0</v>
      </c>
      <c r="M24" s="14"/>
      <c r="N24" s="6"/>
    </row>
    <row r="25" spans="1:14" x14ac:dyDescent="0.3">
      <c r="A25" s="6">
        <v>12</v>
      </c>
      <c r="B25" s="6" t="s">
        <v>77</v>
      </c>
      <c r="C25" s="5"/>
      <c r="D25" s="5"/>
      <c r="E25" s="5" t="str">
        <f t="shared" si="0"/>
        <v>12</v>
      </c>
      <c r="F25" s="6" t="s">
        <v>77</v>
      </c>
      <c r="H25" s="6"/>
      <c r="I25" s="6"/>
      <c r="K25" s="5" t="str">
        <f t="shared" si="1"/>
        <v>0</v>
      </c>
      <c r="M25" s="14"/>
      <c r="N25" s="8"/>
    </row>
    <row r="26" spans="1:14" x14ac:dyDescent="0.3">
      <c r="A26" s="18">
        <v>13</v>
      </c>
      <c r="B26" s="18" t="s">
        <v>77</v>
      </c>
      <c r="C26" s="5"/>
      <c r="D26" s="5"/>
      <c r="E26" s="5" t="str">
        <f>TEXT(A26,"0")</f>
        <v>13</v>
      </c>
      <c r="F26" s="6" t="s">
        <v>77</v>
      </c>
      <c r="H26" s="11"/>
      <c r="I26" s="6"/>
      <c r="K26" s="5" t="str">
        <f t="shared" si="1"/>
        <v>0</v>
      </c>
      <c r="M26" s="14"/>
      <c r="N26" s="6"/>
    </row>
    <row r="27" spans="1:14" x14ac:dyDescent="0.3">
      <c r="H27" s="11"/>
      <c r="I27" s="6"/>
      <c r="K27" s="5" t="str">
        <f t="shared" si="1"/>
        <v>0</v>
      </c>
      <c r="M27" s="14"/>
      <c r="N27" s="8"/>
    </row>
    <row r="28" spans="1:14" x14ac:dyDescent="0.3">
      <c r="M28" s="14"/>
      <c r="N28" s="6"/>
    </row>
    <row r="29" spans="1:14" x14ac:dyDescent="0.3">
      <c r="M29" s="14"/>
      <c r="N29" s="6"/>
    </row>
    <row r="30" spans="1:14" x14ac:dyDescent="0.3">
      <c r="M30" s="14"/>
      <c r="N30" s="6"/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2FE0-B10A-447E-92B4-C5E0FB27D157}">
  <dimension ref="A1:B10"/>
  <sheetViews>
    <sheetView zoomScale="76" workbookViewId="0">
      <selection activeCell="G21" sqref="G21"/>
    </sheetView>
  </sheetViews>
  <sheetFormatPr defaultRowHeight="14.4" x14ac:dyDescent="0.3"/>
  <cols>
    <col min="1" max="1" width="31.109375" customWidth="1"/>
    <col min="2" max="2" width="26.33203125" customWidth="1"/>
  </cols>
  <sheetData>
    <row r="1" spans="1:2" ht="15.6" x14ac:dyDescent="0.3">
      <c r="A1" s="29" t="s">
        <v>84</v>
      </c>
      <c r="B1" s="29" t="s">
        <v>85</v>
      </c>
    </row>
    <row r="2" spans="1:2" ht="20.399999999999999" x14ac:dyDescent="0.3">
      <c r="A2" s="3" t="s">
        <v>86</v>
      </c>
      <c r="B2" s="24">
        <f>SUM(RFM_Raw!E:E)</f>
        <v>2328.5999999999963</v>
      </c>
    </row>
    <row r="3" spans="1:2" ht="20.399999999999999" x14ac:dyDescent="0.3">
      <c r="A3" s="3" t="s">
        <v>87</v>
      </c>
      <c r="B3" s="25">
        <f>COUNTA(RFM_Raw!A:A)-1</f>
        <v>59</v>
      </c>
    </row>
    <row r="4" spans="1:2" ht="20.399999999999999" x14ac:dyDescent="0.3">
      <c r="A4" s="3" t="s">
        <v>88</v>
      </c>
      <c r="B4" s="26">
        <f>AVERAGE(RFM_Raw!E:E)</f>
        <v>39.46779661016943</v>
      </c>
    </row>
    <row r="5" spans="1:2" ht="18" x14ac:dyDescent="0.3">
      <c r="A5" s="3" t="s">
        <v>89</v>
      </c>
      <c r="B5" s="27">
        <f>RFM_Scoring!J3</f>
        <v>6</v>
      </c>
    </row>
    <row r="6" spans="1:2" ht="18" x14ac:dyDescent="0.3">
      <c r="A6" s="3" t="s">
        <v>81</v>
      </c>
      <c r="B6" s="27">
        <f>RFM_Scoring!J7</f>
        <v>12</v>
      </c>
    </row>
    <row r="7" spans="1:2" ht="18" x14ac:dyDescent="0.3">
      <c r="A7" s="3" t="s">
        <v>90</v>
      </c>
      <c r="B7" s="27">
        <f>RFM_Scoring!J9</f>
        <v>19</v>
      </c>
    </row>
    <row r="8" spans="1:2" ht="20.399999999999999" x14ac:dyDescent="0.3">
      <c r="A8" s="3" t="s">
        <v>91</v>
      </c>
      <c r="B8" s="28">
        <f>(RFM_Scoring!J7 + RFM_Scoring!J9)/59</f>
        <v>0.52542372881355937</v>
      </c>
    </row>
    <row r="9" spans="1:2" ht="18.600000000000001" x14ac:dyDescent="0.3">
      <c r="A9" s="30" t="s">
        <v>92</v>
      </c>
      <c r="B9" s="31" t="s">
        <v>93</v>
      </c>
    </row>
    <row r="10" spans="1:2" ht="18.600000000000001" x14ac:dyDescent="0.3">
      <c r="A10" s="30" t="s">
        <v>94</v>
      </c>
      <c r="B10" s="31" t="s">
        <v>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381AF62D7DFB4F9B84028081BC07AE" ma:contentTypeVersion="4" ma:contentTypeDescription="Create a new document." ma:contentTypeScope="" ma:versionID="1e24ee86ac2748967c7902935f6e9e94">
  <xsd:schema xmlns:xsd="http://www.w3.org/2001/XMLSchema" xmlns:xs="http://www.w3.org/2001/XMLSchema" xmlns:p="http://schemas.microsoft.com/office/2006/metadata/properties" xmlns:ns3="ccbea4b1-97c7-4949-bee1-ab71b2e0cb69" targetNamespace="http://schemas.microsoft.com/office/2006/metadata/properties" ma:root="true" ma:fieldsID="e9d100dae1d86a97475a78f424ae79af" ns3:_="">
    <xsd:import namespace="ccbea4b1-97c7-4949-bee1-ab71b2e0cb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ea4b1-97c7-4949-bee1-ab71b2e0cb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BACD4D-1F0A-4CA6-B501-63246881D2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bea4b1-97c7-4949-bee1-ab71b2e0cb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A73A41-0D95-4D8A-B6E6-EA5189E99E52}">
  <ds:schemaRefs>
    <ds:schemaRef ds:uri="ccbea4b1-97c7-4949-bee1-ab71b2e0cb69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DFBC7C9-11E8-4C93-A4D4-5A2BB126A1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RFM_Raw</vt:lpstr>
      <vt:lpstr>RFM_Scoring</vt:lpstr>
      <vt:lpstr>Segment_Lookup</vt:lpstr>
      <vt:lpstr>KPI_Summary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VARDHAN</dc:creator>
  <cp:keywords/>
  <dc:description/>
  <cp:lastModifiedBy>sumitgujer@gmail.com</cp:lastModifiedBy>
  <cp:revision/>
  <dcterms:created xsi:type="dcterms:W3CDTF">2026-08-08T12:04:55Z</dcterms:created>
  <dcterms:modified xsi:type="dcterms:W3CDTF">2026-08-12T14:27:04Z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0x010100A6381AF62D7DFB4F9B84028081BC07AE</vt:lpwstr>
  </property>
</Properties>
</file>